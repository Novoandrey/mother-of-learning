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аркус" sheetId="1" r:id="rId5"/>
    <sheet state="visible" name="Бальтазар" sheetId="2" r:id="rId6"/>
    <sheet state="visible" name="Дамбиниус" sheetId="3" r:id="rId7"/>
  </sheets>
  <definedNames/>
  <calcPr/>
</workbook>
</file>

<file path=xl/sharedStrings.xml><?xml version="1.0" encoding="utf-8"?>
<sst xmlns="http://schemas.openxmlformats.org/spreadsheetml/2006/main" count="579" uniqueCount="266">
  <si>
    <t>Маркус "Хоппер" Грейсон</t>
  </si>
  <si>
    <t>Альт монах</t>
  </si>
  <si>
    <t>Уровень</t>
  </si>
  <si>
    <t>Спасбросок</t>
  </si>
  <si>
    <t>Атлет</t>
  </si>
  <si>
    <t>стат</t>
  </si>
  <si>
    <t>мод</t>
  </si>
  <si>
    <t>спас</t>
  </si>
  <si>
    <t>Кд</t>
  </si>
  <si>
    <t>Иниц</t>
  </si>
  <si>
    <t>Ск-ть</t>
  </si>
  <si>
    <t>Снаряжение</t>
  </si>
  <si>
    <t>Умения</t>
  </si>
  <si>
    <t>Кость БИ</t>
  </si>
  <si>
    <t>Доп скорость</t>
  </si>
  <si>
    <t>Ци всего</t>
  </si>
  <si>
    <t>Ци осталось</t>
  </si>
  <si>
    <t>Сл</t>
  </si>
  <si>
    <t>Бутылка бесконечного пива</t>
  </si>
  <si>
    <t>ГМ дал</t>
  </si>
  <si>
    <t>Заячье сердце</t>
  </si>
  <si>
    <t>Раса</t>
  </si>
  <si>
    <t>д8</t>
  </si>
  <si>
    <t>Лвк</t>
  </si>
  <si>
    <t>Макс хп</t>
  </si>
  <si>
    <t>Тек хп</t>
  </si>
  <si>
    <t>Врем хп</t>
  </si>
  <si>
    <t>Кожаный мяч</t>
  </si>
  <si>
    <t>предыстория</t>
  </si>
  <si>
    <t>Длинные уши</t>
  </si>
  <si>
    <t>Техники</t>
  </si>
  <si>
    <t>Тл</t>
  </si>
  <si>
    <t>Счастливый носок</t>
  </si>
  <si>
    <t>Сильные ноги</t>
  </si>
  <si>
    <t>Шаг ветра</t>
  </si>
  <si>
    <t>Сокрушительный удар</t>
  </si>
  <si>
    <t>Инт</t>
  </si>
  <si>
    <t>Кость хп</t>
  </si>
  <si>
    <t>Успехи</t>
  </si>
  <si>
    <t>Провалы</t>
  </si>
  <si>
    <t>Комплект дорожной одежды</t>
  </si>
  <si>
    <t>Кроличий прыжок</t>
  </si>
  <si>
    <t>Нежное прикосновение</t>
  </si>
  <si>
    <t>Ячейки всего</t>
  </si>
  <si>
    <t>осталось</t>
  </si>
  <si>
    <t>Мдр</t>
  </si>
  <si>
    <t>Набор путешественника</t>
  </si>
  <si>
    <t>Класс</t>
  </si>
  <si>
    <t>Сухопутный транспорт</t>
  </si>
  <si>
    <t>Предыстория</t>
  </si>
  <si>
    <t>Усиленный удар</t>
  </si>
  <si>
    <t>Хар</t>
  </si>
  <si>
    <t>Попадание</t>
  </si>
  <si>
    <t>Гитара</t>
  </si>
  <si>
    <t>Боевые искусства</t>
  </si>
  <si>
    <t>Медленное падение</t>
  </si>
  <si>
    <t>Ур. Ячейки</t>
  </si>
  <si>
    <t>Мастерство</t>
  </si>
  <si>
    <t>Инструменты повара</t>
  </si>
  <si>
    <t>Защита без доспехов</t>
  </si>
  <si>
    <t>Отражение снарядов</t>
  </si>
  <si>
    <t>ЛВК</t>
  </si>
  <si>
    <t>Акр</t>
  </si>
  <si>
    <t>Предмет</t>
  </si>
  <si>
    <t>Нуж настр</t>
  </si>
  <si>
    <t>Настр</t>
  </si>
  <si>
    <t>Движение без доспехов</t>
  </si>
  <si>
    <t>Ошеломляющий удар</t>
  </si>
  <si>
    <t>ИНТ</t>
  </si>
  <si>
    <t>Анал</t>
  </si>
  <si>
    <t>20 дротиков</t>
  </si>
  <si>
    <t>нет</t>
  </si>
  <si>
    <t>Ци</t>
  </si>
  <si>
    <t>СИЛ</t>
  </si>
  <si>
    <t>Атл</t>
  </si>
  <si>
    <t>Палка</t>
  </si>
  <si>
    <t>Шквал ударов</t>
  </si>
  <si>
    <t>МДР</t>
  </si>
  <si>
    <t>Вним</t>
  </si>
  <si>
    <t>Путь пьяного кулака</t>
  </si>
  <si>
    <t>Заклинание</t>
  </si>
  <si>
    <t>Источник</t>
  </si>
  <si>
    <t>Выж</t>
  </si>
  <si>
    <t>Импровизированное оружие</t>
  </si>
  <si>
    <t>Раскат грома</t>
  </si>
  <si>
    <t>Ученик стихий</t>
  </si>
  <si>
    <t>Адское возмездие</t>
  </si>
  <si>
    <t>ХАР</t>
  </si>
  <si>
    <t>Выст</t>
  </si>
  <si>
    <t>Инструменты пивовара</t>
  </si>
  <si>
    <t>Луч холода</t>
  </si>
  <si>
    <t>Волна грома</t>
  </si>
  <si>
    <t>Запуг</t>
  </si>
  <si>
    <t>Пьяный стиль</t>
  </si>
  <si>
    <t>Защита от оружия</t>
  </si>
  <si>
    <t>Ильза</t>
  </si>
  <si>
    <t>Ледяной кинжал</t>
  </si>
  <si>
    <t>Ист</t>
  </si>
  <si>
    <t>Шеф-повар</t>
  </si>
  <si>
    <t>Черта</t>
  </si>
  <si>
    <t>Свет</t>
  </si>
  <si>
    <t>Поглощение стихий</t>
  </si>
  <si>
    <t>Лвк рук</t>
  </si>
  <si>
    <t>Повышение характеристик</t>
  </si>
  <si>
    <t>Фит 4</t>
  </si>
  <si>
    <t>Починка</t>
  </si>
  <si>
    <t>Туманный шаг</t>
  </si>
  <si>
    <t>Маг</t>
  </si>
  <si>
    <t>Доп атака</t>
  </si>
  <si>
    <t>Дубинка</t>
  </si>
  <si>
    <t>Удержание личности</t>
  </si>
  <si>
    <t>Мед</t>
  </si>
  <si>
    <t>Убийца магов</t>
  </si>
  <si>
    <t>Черта факультатив</t>
  </si>
  <si>
    <t>Обм</t>
  </si>
  <si>
    <t>Просвещённый кулак</t>
  </si>
  <si>
    <t>Прир</t>
  </si>
  <si>
    <t>Непредсказуемые движения</t>
  </si>
  <si>
    <t>Прониц</t>
  </si>
  <si>
    <t>Религ</t>
  </si>
  <si>
    <t>Валюта</t>
  </si>
  <si>
    <t>Подвижный</t>
  </si>
  <si>
    <t>Скрыт</t>
  </si>
  <si>
    <t>С собой</t>
  </si>
  <si>
    <t>Дома</t>
  </si>
  <si>
    <t>Увёртливость</t>
  </si>
  <si>
    <t>Убежд</t>
  </si>
  <si>
    <t>Медь</t>
  </si>
  <si>
    <t>Эльфийская точность</t>
  </si>
  <si>
    <t>Фит 8</t>
  </si>
  <si>
    <t>Уход за жив</t>
  </si>
  <si>
    <t>Серебро</t>
  </si>
  <si>
    <t>Страж</t>
  </si>
  <si>
    <t>Золото</t>
  </si>
  <si>
    <t>Пасс мдр</t>
  </si>
  <si>
    <t>Платина</t>
  </si>
  <si>
    <t>Оружие(Владения)</t>
  </si>
  <si>
    <t>Простое оружие</t>
  </si>
  <si>
    <t>Короткие мечи</t>
  </si>
  <si>
    <t>Цена</t>
  </si>
  <si>
    <t>Амулет пьяницы</t>
  </si>
  <si>
    <t>Обмотки</t>
  </si>
  <si>
    <t>Плащ защиты</t>
  </si>
  <si>
    <t>Пояс</t>
  </si>
  <si>
    <t>Перчатки воровства</t>
  </si>
  <si>
    <t>Разрушающий посох</t>
  </si>
  <si>
    <t>Камень удачи</t>
  </si>
  <si>
    <t>Бальтазар Неотразимый</t>
  </si>
  <si>
    <t>Бард очарования</t>
  </si>
  <si>
    <t>Студент Призмари</t>
  </si>
  <si>
    <t>Круг</t>
  </si>
  <si>
    <t>Стоимость</t>
  </si>
  <si>
    <t>Пул</t>
  </si>
  <si>
    <t>Известно</t>
  </si>
  <si>
    <t>Вдохновение</t>
  </si>
  <si>
    <t>Набор артиста</t>
  </si>
  <si>
    <t>Кулаки</t>
  </si>
  <si>
    <t>Всего</t>
  </si>
  <si>
    <t>Осталось</t>
  </si>
  <si>
    <t>Бутыль чёрных чернил</t>
  </si>
  <si>
    <t>Задерживание дыхания</t>
  </si>
  <si>
    <t>писчее перо</t>
  </si>
  <si>
    <t>Природный доспех</t>
  </si>
  <si>
    <t>губная гармошка</t>
  </si>
  <si>
    <t>Панцирная защита</t>
  </si>
  <si>
    <t>Поступивший в Стриксхейвен</t>
  </si>
  <si>
    <t>Происхождение</t>
  </si>
  <si>
    <t>Телекинетик</t>
  </si>
  <si>
    <t>Старт фит</t>
  </si>
  <si>
    <t>Увеличение характеристик</t>
  </si>
  <si>
    <t>Нужна настр</t>
  </si>
  <si>
    <t>Вдохновение барда</t>
  </si>
  <si>
    <t>Топор</t>
  </si>
  <si>
    <t>Мастер на все руки</t>
  </si>
  <si>
    <t>Песнь отдыха</t>
  </si>
  <si>
    <t>Источник вдохновения</t>
  </si>
  <si>
    <t>Контрочарование</t>
  </si>
  <si>
    <t>Фокусы</t>
  </si>
  <si>
    <t>Фит</t>
  </si>
  <si>
    <t>Щит</t>
  </si>
  <si>
    <t>Адепт метамагии</t>
  </si>
  <si>
    <t>Факультатив</t>
  </si>
  <si>
    <t>Огненный снаряд</t>
  </si>
  <si>
    <t>Посвящённый в магию</t>
  </si>
  <si>
    <t>Волшебная рука</t>
  </si>
  <si>
    <t>Цветной шарик 24</t>
  </si>
  <si>
    <t>Боевой заклинатель</t>
  </si>
  <si>
    <t>Мистический заряд</t>
  </si>
  <si>
    <t>Приказ</t>
  </si>
  <si>
    <t>Адепт таинств</t>
  </si>
  <si>
    <t>Расщепление разума</t>
  </si>
  <si>
    <t>Искусная острота</t>
  </si>
  <si>
    <t>Злая насмешка</t>
  </si>
  <si>
    <t>Внушение</t>
  </si>
  <si>
    <t>Завораживающее выступление</t>
  </si>
  <si>
    <t>Подкласс</t>
  </si>
  <si>
    <t>Мантия вдохновения</t>
  </si>
  <si>
    <t>Отражения</t>
  </si>
  <si>
    <t>Мантия величия</t>
  </si>
  <si>
    <t>Чудотворство</t>
  </si>
  <si>
    <t>Ускорение</t>
  </si>
  <si>
    <t>Крепкий</t>
  </si>
  <si>
    <t>Формование воды</t>
  </si>
  <si>
    <t>Послание</t>
  </si>
  <si>
    <t>Указание</t>
  </si>
  <si>
    <t>Гипнотический узор</t>
  </si>
  <si>
    <t>Шквал</t>
  </si>
  <si>
    <t>Смятение</t>
  </si>
  <si>
    <t>Психическое копьё Раулотима</t>
  </si>
  <si>
    <t>Фортепиано</t>
  </si>
  <si>
    <t>Лёгкая броня</t>
  </si>
  <si>
    <t>Губная гармош</t>
  </si>
  <si>
    <t>Скрипка</t>
  </si>
  <si>
    <t>Амулет здоровья</t>
  </si>
  <si>
    <t>Плащ ускользания</t>
  </si>
  <si>
    <t>Дамбиус Вспыльчивый</t>
  </si>
  <si>
    <t>Клерик 2024</t>
  </si>
  <si>
    <t>Чужеземец</t>
  </si>
  <si>
    <t>Канал</t>
  </si>
  <si>
    <t>Посох</t>
  </si>
  <si>
    <t>Крупное телосложение</t>
  </si>
  <si>
    <t>Капкан</t>
  </si>
  <si>
    <t>Спокойствие локсодонов</t>
  </si>
  <si>
    <t>Походный набор</t>
  </si>
  <si>
    <t>Хобот</t>
  </si>
  <si>
    <t>6д8</t>
  </si>
  <si>
    <t>Флейта</t>
  </si>
  <si>
    <t>Обострённый нюх</t>
  </si>
  <si>
    <t>Заготовки еды простые</t>
  </si>
  <si>
    <t>Отличная память</t>
  </si>
  <si>
    <t>Молот</t>
  </si>
  <si>
    <t>Божественный порядок</t>
  </si>
  <si>
    <t>Божественный канал</t>
  </si>
  <si>
    <t>БК: Божественная искра</t>
  </si>
  <si>
    <t>БК: Изгнание нежити</t>
  </si>
  <si>
    <t>Домен знаний</t>
  </si>
  <si>
    <t>Необнаружимость</t>
  </si>
  <si>
    <t>Кольцо защиты разума</t>
  </si>
  <si>
    <t>Благословление знания</t>
  </si>
  <si>
    <t>Языки</t>
  </si>
  <si>
    <t>Дорожная одежда</t>
  </si>
  <si>
    <t>Заклинания домена</t>
  </si>
  <si>
    <t>Священное пламя</t>
  </si>
  <si>
    <t>Рассеивание магии</t>
  </si>
  <si>
    <t>Священный символ -- кусок бивня</t>
  </si>
  <si>
    <t>БК: Магия разума</t>
  </si>
  <si>
    <t>Снятие проклятия</t>
  </si>
  <si>
    <t>Уничтожение нежити</t>
  </si>
  <si>
    <t>Лечение ран 24</t>
  </si>
  <si>
    <t>Телепатия</t>
  </si>
  <si>
    <t>Направляющий снаряд</t>
  </si>
  <si>
    <t>Проверки интеллекта</t>
  </si>
  <si>
    <t>Убежище *</t>
  </si>
  <si>
    <t>Благословление</t>
  </si>
  <si>
    <t>Странник</t>
  </si>
  <si>
    <t>Молебен лечения 24</t>
  </si>
  <si>
    <t>Малое восстановление 24</t>
  </si>
  <si>
    <t>Нетленные останки</t>
  </si>
  <si>
    <t>Возрождение</t>
  </si>
  <si>
    <t>Аура живучести 24</t>
  </si>
  <si>
    <t>Понимание языков</t>
  </si>
  <si>
    <t>Обнаружение магии</t>
  </si>
  <si>
    <t>Опознание</t>
  </si>
  <si>
    <t>Пронзание разума</t>
  </si>
  <si>
    <t>Лёгкая и средняя броня, щиты</t>
  </si>
  <si>
    <t>Обнаружение мыслей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</si>
</sst>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u/>
      <color rgb="FF1155CC"/>
      <name val="Arial"/>
    </font>
    <font/>
    <font>
      <u/>
      <color rgb="FF1155CC"/>
      <name val="Arial"/>
    </font>
    <font>
      <u/>
      <color rgb="FF1155CC"/>
      <name val="Arial"/>
    </font>
    <font>
      <color rgb="FF141414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color rgb="FF666666"/>
      <name val="Arial"/>
    </font>
    <font>
      <u/>
      <color rgb="FF0000FF"/>
      <name val="Arial"/>
    </font>
    <font>
      <color theme="1"/>
      <name val="Arial"/>
      <scheme val="minor"/>
    </font>
    <font>
      <u/>
      <color rgb="FF1155CC"/>
      <name val="Arial"/>
    </font>
    <font>
      <u/>
      <color rgb="FF0000FF"/>
      <name val="Arial"/>
    </font>
    <font>
      <u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1" fillId="0" fontId="1" numFmtId="0" xfId="0" applyAlignment="1" applyBorder="1" applyFont="1">
      <alignment vertical="bottom"/>
    </xf>
    <xf borderId="1" fillId="2" fontId="1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vertical="bottom"/>
    </xf>
    <xf borderId="2" fillId="4" fontId="1" numFmtId="0" xfId="0" applyAlignment="1" applyBorder="1" applyFill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5" fontId="1" numFmtId="0" xfId="0" applyAlignment="1" applyBorder="1" applyFill="1" applyFont="1">
      <alignment vertical="bottom"/>
    </xf>
    <xf borderId="1" fillId="6" fontId="1" numFmtId="0" xfId="0" applyAlignment="1" applyBorder="1" applyFill="1" applyFont="1">
      <alignment vertical="bottom"/>
    </xf>
    <xf borderId="1" fillId="2" fontId="1" numFmtId="0" xfId="0" applyAlignment="1" applyBorder="1" applyFont="1">
      <alignment horizontal="right" vertical="bottom"/>
    </xf>
    <xf borderId="1" fillId="7" fontId="1" numFmtId="0" xfId="0" applyAlignment="1" applyBorder="1" applyFill="1" applyFont="1">
      <alignment horizontal="right" vertical="bottom"/>
    </xf>
    <xf borderId="1" fillId="3" fontId="1" numFmtId="0" xfId="0" applyAlignment="1" applyBorder="1" applyFont="1">
      <alignment horizontal="right" vertical="bottom"/>
    </xf>
    <xf borderId="2" fillId="4" fontId="5" numFmtId="0" xfId="0" applyAlignment="1" applyBorder="1" applyFont="1">
      <alignment vertical="bottom"/>
    </xf>
    <xf borderId="1" fillId="4" fontId="1" numFmtId="0" xfId="0" applyAlignment="1" applyBorder="1" applyFont="1">
      <alignment vertical="bottom"/>
    </xf>
    <xf borderId="1" fillId="5" fontId="6" numFmtId="0" xfId="0" applyAlignment="1" applyBorder="1" applyFont="1">
      <alignment vertical="bottom"/>
    </xf>
    <xf borderId="1" fillId="6" fontId="1" numFmtId="0" xfId="0" applyAlignment="1" applyBorder="1" applyFont="1">
      <alignment horizontal="right" vertical="bottom"/>
    </xf>
    <xf borderId="1" fillId="6" fontId="1" numFmtId="0" xfId="0" applyAlignment="1" applyBorder="1" applyFont="1">
      <alignment horizontal="right" readingOrder="0" vertical="bottom"/>
    </xf>
    <xf borderId="1" fillId="8" fontId="1" numFmtId="0" xfId="0" applyAlignment="1" applyBorder="1" applyFill="1" applyFont="1">
      <alignment vertical="bottom"/>
    </xf>
    <xf borderId="5" fillId="4" fontId="1" numFmtId="0" xfId="0" applyAlignment="1" applyBorder="1" applyFont="1">
      <alignment vertical="bottom"/>
    </xf>
    <xf borderId="6" fillId="0" fontId="4" numFmtId="0" xfId="0" applyBorder="1" applyFont="1"/>
    <xf borderId="2" fillId="5" fontId="7" numFmtId="0" xfId="0" applyAlignment="1" applyBorder="1" applyFont="1">
      <alignment vertical="bottom"/>
    </xf>
    <xf borderId="1" fillId="8" fontId="1" numFmtId="0" xfId="0" applyAlignment="1" applyBorder="1" applyFont="1">
      <alignment horizontal="right" vertical="bottom"/>
    </xf>
    <xf borderId="1" fillId="8" fontId="1" numFmtId="0" xfId="0" applyAlignment="1" applyBorder="1" applyFont="1">
      <alignment horizontal="right" readingOrder="0" vertical="bottom"/>
    </xf>
    <xf borderId="1" fillId="9" fontId="1" numFmtId="0" xfId="0" applyAlignment="1" applyBorder="1" applyFill="1" applyFont="1">
      <alignment vertical="bottom"/>
    </xf>
    <xf borderId="1" fillId="8" fontId="1" numFmtId="0" xfId="0" applyAlignment="1" applyBorder="1" applyFont="1">
      <alignment readingOrder="0" vertical="bottom"/>
    </xf>
    <xf borderId="1" fillId="9" fontId="1" numFmtId="0" xfId="0" applyAlignment="1" applyBorder="1" applyFont="1">
      <alignment horizontal="right" vertical="bottom"/>
    </xf>
    <xf borderId="1" fillId="5" fontId="1" numFmtId="0" xfId="0" applyAlignment="1" applyBorder="1" applyFont="1">
      <alignment vertical="bottom"/>
    </xf>
    <xf borderId="0" fillId="3" fontId="1" numFmtId="0" xfId="0" applyAlignment="1" applyFont="1">
      <alignment vertical="bottom"/>
    </xf>
    <xf borderId="0" fillId="2" fontId="1" numFmtId="0" xfId="0" applyAlignment="1" applyFont="1">
      <alignment vertical="bottom"/>
    </xf>
    <xf borderId="1" fillId="6" fontId="1" numFmtId="0" xfId="0" applyAlignment="1" applyBorder="1" applyFont="1">
      <alignment readingOrder="0" vertical="bottom"/>
    </xf>
    <xf borderId="1" fillId="6" fontId="8" numFmtId="0" xfId="0" applyAlignment="1" applyBorder="1" applyFont="1">
      <alignment vertical="bottom"/>
    </xf>
    <xf borderId="1" fillId="6" fontId="9" numFmtId="0" xfId="0" applyAlignment="1" applyBorder="1" applyFont="1">
      <alignment readingOrder="0" vertical="bottom"/>
    </xf>
    <xf borderId="1" fillId="2" fontId="10" numFmtId="0" xfId="0" applyAlignment="1" applyBorder="1" applyFont="1">
      <alignment vertical="bottom"/>
    </xf>
    <xf borderId="1" fillId="6" fontId="1" numFmtId="0" xfId="0" applyAlignment="1" applyBorder="1" applyFont="1">
      <alignment readingOrder="0" vertical="bottom"/>
    </xf>
    <xf borderId="1" fillId="5" fontId="1" numFmtId="0" xfId="0" applyAlignment="1" applyBorder="1" applyFont="1">
      <alignment readingOrder="0" vertical="bottom"/>
    </xf>
    <xf borderId="1" fillId="2" fontId="11" numFmtId="0" xfId="0" applyAlignment="1" applyBorder="1" applyFont="1">
      <alignment readingOrder="0" vertical="bottom"/>
    </xf>
    <xf borderId="2" fillId="5" fontId="12" numFmtId="0" xfId="0" applyAlignment="1" applyBorder="1" applyFont="1">
      <alignment vertical="bottom"/>
    </xf>
    <xf borderId="2" fillId="10" fontId="1" numFmtId="0" xfId="0" applyAlignment="1" applyBorder="1" applyFill="1" applyFont="1">
      <alignment vertical="bottom"/>
    </xf>
    <xf borderId="1" fillId="10" fontId="1" numFmtId="0" xfId="0" applyAlignment="1" applyBorder="1" applyFont="1">
      <alignment vertical="bottom"/>
    </xf>
    <xf borderId="0" fillId="2" fontId="13" numFmtId="0" xfId="0" applyAlignment="1" applyFont="1">
      <alignment vertical="bottom"/>
    </xf>
    <xf borderId="1" fillId="2" fontId="13" numFmtId="0" xfId="0" applyAlignment="1" applyBorder="1" applyFont="1">
      <alignment horizontal="right" vertical="bottom"/>
    </xf>
    <xf borderId="2" fillId="5" fontId="14" numFmtId="0" xfId="0" applyAlignment="1" applyBorder="1" applyFont="1">
      <alignment readingOrder="0" vertical="bottom"/>
    </xf>
    <xf borderId="1" fillId="10" fontId="1" numFmtId="0" xfId="0" applyAlignment="1" applyBorder="1" applyFont="1">
      <alignment horizontal="right" readingOrder="0" vertical="bottom"/>
    </xf>
    <xf borderId="0" fillId="6" fontId="1" numFmtId="0" xfId="0" applyAlignment="1" applyFont="1">
      <alignment vertical="bottom"/>
    </xf>
    <xf borderId="2" fillId="6" fontId="1" numFmtId="0" xfId="0" applyAlignment="1" applyBorder="1" applyFont="1">
      <alignment vertical="bottom"/>
    </xf>
    <xf borderId="1" fillId="0" fontId="15" numFmtId="0" xfId="0" applyAlignment="1" applyBorder="1" applyFont="1">
      <alignment readingOrder="0"/>
    </xf>
    <xf borderId="1" fillId="0" fontId="16" numFmtId="0" xfId="0" applyAlignment="1" applyBorder="1" applyFont="1">
      <alignment vertical="bottom"/>
    </xf>
    <xf borderId="1" fillId="0" fontId="17" numFmtId="0" xfId="0" applyAlignment="1" applyBorder="1" applyFont="1">
      <alignment readingOrder="0" vertical="bottom"/>
    </xf>
    <xf borderId="1" fillId="0" fontId="15" numFmtId="0" xfId="0" applyBorder="1" applyFont="1"/>
    <xf borderId="1" fillId="11" fontId="1" numFmtId="0" xfId="0" applyAlignment="1" applyBorder="1" applyFill="1" applyFont="1">
      <alignment vertical="bottom"/>
    </xf>
    <xf borderId="7" fillId="6" fontId="1" numFmtId="0" xfId="0" applyAlignment="1" applyBorder="1" applyFont="1">
      <alignment horizontal="center" readingOrder="0"/>
    </xf>
    <xf borderId="7" fillId="6" fontId="1" numFmtId="0" xfId="0" applyAlignment="1" applyBorder="1" applyFont="1">
      <alignment horizontal="center"/>
    </xf>
    <xf borderId="1" fillId="11" fontId="1" numFmtId="0" xfId="0" applyAlignment="1" applyBorder="1" applyFont="1">
      <alignment horizontal="right" vertical="bottom"/>
    </xf>
    <xf borderId="1" fillId="11" fontId="1" numFmtId="0" xfId="0" applyAlignment="1" applyBorder="1" applyFont="1">
      <alignment horizontal="right" readingOrder="0" vertical="bottom"/>
    </xf>
    <xf borderId="1" fillId="2" fontId="1" numFmtId="0" xfId="0" applyAlignment="1" applyBorder="1" applyFont="1">
      <alignment horizontal="right" readingOrder="0" vertical="bottom"/>
    </xf>
    <xf borderId="8" fillId="0" fontId="4" numFmtId="0" xfId="0" applyBorder="1" applyFont="1"/>
    <xf borderId="1" fillId="6" fontId="18" numFmtId="0" xfId="0" applyAlignment="1" applyBorder="1" applyFont="1">
      <alignment readingOrder="0" vertical="bottom"/>
    </xf>
    <xf borderId="9" fillId="0" fontId="4" numFmtId="0" xfId="0" applyBorder="1" applyFont="1"/>
    <xf borderId="1" fillId="12" fontId="1" numFmtId="0" xfId="0" applyAlignment="1" applyBorder="1" applyFill="1" applyFont="1">
      <alignment horizontal="right" vertical="bottom"/>
    </xf>
    <xf borderId="0" fillId="2" fontId="19" numFmtId="0" xfId="0" applyAlignment="1" applyFont="1">
      <alignment vertical="bottom"/>
    </xf>
    <xf borderId="1" fillId="12" fontId="20" numFmtId="0" xfId="0" applyAlignment="1" applyBorder="1" applyFont="1">
      <alignment vertical="bottom"/>
    </xf>
    <xf borderId="1" fillId="2" fontId="1" numFmtId="0" xfId="0" applyAlignment="1" applyBorder="1" applyFont="1">
      <alignment readingOrder="0" vertical="bottom"/>
    </xf>
    <xf borderId="1" fillId="12" fontId="21" numFmtId="0" xfId="0" applyAlignment="1" applyBorder="1" applyFont="1">
      <alignment readingOrder="0" vertical="bottom"/>
    </xf>
    <xf borderId="1" fillId="7" fontId="1" numFmtId="0" xfId="0" applyAlignment="1" applyBorder="1" applyFont="1">
      <alignment vertical="bottom"/>
    </xf>
    <xf borderId="2" fillId="13" fontId="22" numFmtId="0" xfId="0" applyAlignment="1" applyBorder="1" applyFill="1" applyFont="1">
      <alignment vertical="bottom"/>
    </xf>
    <xf borderId="2" fillId="13" fontId="1" numFmtId="0" xfId="0" applyAlignment="1" applyBorder="1" applyFont="1">
      <alignment vertical="bottom"/>
    </xf>
    <xf borderId="1" fillId="12" fontId="1" numFmtId="0" xfId="0" applyAlignment="1" applyBorder="1" applyFont="1">
      <alignment vertical="bottom"/>
    </xf>
    <xf borderId="1" fillId="10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nd.su/items/171-cloak-of-protection/" TargetMode="External"/><Relationship Id="rId20" Type="http://schemas.openxmlformats.org/officeDocument/2006/relationships/hyperlink" Target="https://dnd.su/homebrew/class/391-alternate-monk/" TargetMode="External"/><Relationship Id="rId42" Type="http://schemas.openxmlformats.org/officeDocument/2006/relationships/hyperlink" Target="https://dnd.su/items/168-gloves-of-thievery/" TargetMode="External"/><Relationship Id="rId41" Type="http://schemas.openxmlformats.org/officeDocument/2006/relationships/hyperlink" Target="https://dnd.su/items/2964-dragonhide-belt/" TargetMode="External"/><Relationship Id="rId22" Type="http://schemas.openxmlformats.org/officeDocument/2006/relationships/hyperlink" Target="https://dnd.su/spells/388-ice-knife/" TargetMode="External"/><Relationship Id="rId44" Type="http://schemas.openxmlformats.org/officeDocument/2006/relationships/hyperlink" Target="https://dnd.su/items/82-stone-of-good-luck/" TargetMode="External"/><Relationship Id="rId21" Type="http://schemas.openxmlformats.org/officeDocument/2006/relationships/hyperlink" Target="https://next.dnd.su/spells/10444-blade-ward/" TargetMode="External"/><Relationship Id="rId43" Type="http://schemas.openxmlformats.org/officeDocument/2006/relationships/hyperlink" Target="https://dnd.su/items/2421-shatterspike/" TargetMode="External"/><Relationship Id="rId24" Type="http://schemas.openxmlformats.org/officeDocument/2006/relationships/hyperlink" Target="https://dnd.su/spells/307-light/" TargetMode="External"/><Relationship Id="rId23" Type="http://schemas.openxmlformats.org/officeDocument/2006/relationships/hyperlink" Target="https://dnd.su/feats/171-chef/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dnd.su/homebrew/class/391-alternate-monk/" TargetMode="External"/><Relationship Id="rId2" Type="http://schemas.openxmlformats.org/officeDocument/2006/relationships/hyperlink" Target="https://dnd.su/backgrounds/787-athlete/" TargetMode="External"/><Relationship Id="rId3" Type="http://schemas.openxmlformats.org/officeDocument/2006/relationships/hyperlink" Target="https://dnd.su/items/3161-bottle-of-boundless-coffee/" TargetMode="External"/><Relationship Id="rId4" Type="http://schemas.openxmlformats.org/officeDocument/2006/relationships/hyperlink" Target="https://dnd.su/race/207-harengon/" TargetMode="External"/><Relationship Id="rId9" Type="http://schemas.openxmlformats.org/officeDocument/2006/relationships/hyperlink" Target="https://dnd.su/homebrew/class/391-alternate-monk/" TargetMode="External"/><Relationship Id="rId26" Type="http://schemas.openxmlformats.org/officeDocument/2006/relationships/hyperlink" Target="https://dnd.su/spells/258-mending/" TargetMode="External"/><Relationship Id="rId25" Type="http://schemas.openxmlformats.org/officeDocument/2006/relationships/hyperlink" Target="https://dnd.su/spells/401-absorb-elements/" TargetMode="External"/><Relationship Id="rId28" Type="http://schemas.openxmlformats.org/officeDocument/2006/relationships/hyperlink" Target="https://dnd.su/homebrew/class/391-alternate-monk/" TargetMode="External"/><Relationship Id="rId27" Type="http://schemas.openxmlformats.org/officeDocument/2006/relationships/hyperlink" Target="https://dnd.su/spells/352-misty-step/" TargetMode="External"/><Relationship Id="rId5" Type="http://schemas.openxmlformats.org/officeDocument/2006/relationships/hyperlink" Target="https://dnd.su/race/207-harengon/" TargetMode="External"/><Relationship Id="rId6" Type="http://schemas.openxmlformats.org/officeDocument/2006/relationships/hyperlink" Target="https://dnd.su/race/207-harengon/" TargetMode="External"/><Relationship Id="rId29" Type="http://schemas.openxmlformats.org/officeDocument/2006/relationships/hyperlink" Target="https://next.dnd.su/spells/10639-shillelagh/" TargetMode="External"/><Relationship Id="rId7" Type="http://schemas.openxmlformats.org/officeDocument/2006/relationships/hyperlink" Target="https://dnd.su/race/207-harengon/" TargetMode="External"/><Relationship Id="rId8" Type="http://schemas.openxmlformats.org/officeDocument/2006/relationships/hyperlink" Target="https://dnd.su/homebrew/class/391-alternate-monk/" TargetMode="External"/><Relationship Id="rId31" Type="http://schemas.openxmlformats.org/officeDocument/2006/relationships/hyperlink" Target="https://dnd.su/feats/139-mage-slayer/" TargetMode="External"/><Relationship Id="rId30" Type="http://schemas.openxmlformats.org/officeDocument/2006/relationships/hyperlink" Target="https://dnd.su/spells/356-hold-person/" TargetMode="External"/><Relationship Id="rId11" Type="http://schemas.openxmlformats.org/officeDocument/2006/relationships/hyperlink" Target="https://dnd.su/homebrew/class/391-alternate-monk/" TargetMode="External"/><Relationship Id="rId33" Type="http://schemas.openxmlformats.org/officeDocument/2006/relationships/hyperlink" Target="https://dnd.su/homebrew/class/391-alternate-monk/" TargetMode="External"/><Relationship Id="rId10" Type="http://schemas.openxmlformats.org/officeDocument/2006/relationships/hyperlink" Target="https://dnd.su/homebrew/class/391-alternate-monk/" TargetMode="External"/><Relationship Id="rId32" Type="http://schemas.openxmlformats.org/officeDocument/2006/relationships/hyperlink" Target="https://dnd.su/homebrew/class/391-alternate-monk/" TargetMode="External"/><Relationship Id="rId13" Type="http://schemas.openxmlformats.org/officeDocument/2006/relationships/hyperlink" Target="https://dnd.su/homebrew/class/391-alternate-monk/" TargetMode="External"/><Relationship Id="rId35" Type="http://schemas.openxmlformats.org/officeDocument/2006/relationships/hyperlink" Target="https://dnd.su/homebrew/class/391-alternate-monk/" TargetMode="External"/><Relationship Id="rId12" Type="http://schemas.openxmlformats.org/officeDocument/2006/relationships/hyperlink" Target="https://dnd.su/homebrew/class/391-alternate-monk/" TargetMode="External"/><Relationship Id="rId34" Type="http://schemas.openxmlformats.org/officeDocument/2006/relationships/hyperlink" Target="https://dnd.su/feats/132-mobile/" TargetMode="External"/><Relationship Id="rId15" Type="http://schemas.openxmlformats.org/officeDocument/2006/relationships/hyperlink" Target="https://dnd.su/spells/407-thunderclap/" TargetMode="External"/><Relationship Id="rId37" Type="http://schemas.openxmlformats.org/officeDocument/2006/relationships/hyperlink" Target="https://dnd.su/feats/138-sentinel/" TargetMode="External"/><Relationship Id="rId14" Type="http://schemas.openxmlformats.org/officeDocument/2006/relationships/hyperlink" Target="https://dnd.su/homebrew/class/391-alternate-monk/" TargetMode="External"/><Relationship Id="rId36" Type="http://schemas.openxmlformats.org/officeDocument/2006/relationships/hyperlink" Target="https://dnd.su/feats/157-elven-accuracy/" TargetMode="External"/><Relationship Id="rId17" Type="http://schemas.openxmlformats.org/officeDocument/2006/relationships/hyperlink" Target="https://dnd.su/homebrew/class/391-alternate-monk/" TargetMode="External"/><Relationship Id="rId39" Type="http://schemas.openxmlformats.org/officeDocument/2006/relationships/hyperlink" Target="https://dnd.su/items/7161-wraps-of-unarmed-prowess/" TargetMode="External"/><Relationship Id="rId16" Type="http://schemas.openxmlformats.org/officeDocument/2006/relationships/hyperlink" Target="https://dnd.su/spells/1-hellish-rebuke/" TargetMode="External"/><Relationship Id="rId38" Type="http://schemas.openxmlformats.org/officeDocument/2006/relationships/hyperlink" Target="https://dnd.su/items/2283-amulet-of-the-drunkard/" TargetMode="External"/><Relationship Id="rId19" Type="http://schemas.openxmlformats.org/officeDocument/2006/relationships/hyperlink" Target="https://dnd.su/spells/25-thunderwave/" TargetMode="External"/><Relationship Id="rId18" Type="http://schemas.openxmlformats.org/officeDocument/2006/relationships/hyperlink" Target="https://dnd.su/spells/149-ray-of-frost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nd.su/items/4-amulet-of-health/" TargetMode="External"/><Relationship Id="rId20" Type="http://schemas.openxmlformats.org/officeDocument/2006/relationships/hyperlink" Target="https://dnd.su/feats/159-eldritch-adept/" TargetMode="External"/><Relationship Id="rId42" Type="http://schemas.openxmlformats.org/officeDocument/2006/relationships/drawing" Target="../drawings/drawing2.xml"/><Relationship Id="rId41" Type="http://schemas.openxmlformats.org/officeDocument/2006/relationships/hyperlink" Target="https://dnd.su/items/176-cloak-of-displacement/" TargetMode="External"/><Relationship Id="rId22" Type="http://schemas.openxmlformats.org/officeDocument/2006/relationships/hyperlink" Target="https://dnd.su/spells/3946-silvery-barbs/" TargetMode="External"/><Relationship Id="rId21" Type="http://schemas.openxmlformats.org/officeDocument/2006/relationships/hyperlink" Target="https://dnd.su/spells/3050-mind-sliver/" TargetMode="External"/><Relationship Id="rId24" Type="http://schemas.openxmlformats.org/officeDocument/2006/relationships/hyperlink" Target="https://5e14.dnd.su/spells/23-suggestion/" TargetMode="External"/><Relationship Id="rId23" Type="http://schemas.openxmlformats.org/officeDocument/2006/relationships/hyperlink" Target="https://dnd.su/spells/112-vicious-mockery/" TargetMode="External"/><Relationship Id="rId1" Type="http://schemas.openxmlformats.org/officeDocument/2006/relationships/hyperlink" Target="https://dnd.su/backgrounds/795-prismari-student/" TargetMode="External"/><Relationship Id="rId2" Type="http://schemas.openxmlformats.org/officeDocument/2006/relationships/hyperlink" Target="https://dnd.su/race/184-tortle/" TargetMode="External"/><Relationship Id="rId3" Type="http://schemas.openxmlformats.org/officeDocument/2006/relationships/hyperlink" Target="https://dnd.su/race/184-tortle/" TargetMode="External"/><Relationship Id="rId4" Type="http://schemas.openxmlformats.org/officeDocument/2006/relationships/hyperlink" Target="https://dnd.su/race/184-tortle/" TargetMode="External"/><Relationship Id="rId9" Type="http://schemas.openxmlformats.org/officeDocument/2006/relationships/hyperlink" Target="https://dnd.su/spells/91-prestidigitation/" TargetMode="External"/><Relationship Id="rId26" Type="http://schemas.openxmlformats.org/officeDocument/2006/relationships/hyperlink" Target="https://dnd.su/spells/356-hold-person/" TargetMode="External"/><Relationship Id="rId25" Type="http://schemas.openxmlformats.org/officeDocument/2006/relationships/hyperlink" Target="https://dnd.su/spells/307-light/" TargetMode="External"/><Relationship Id="rId28" Type="http://schemas.openxmlformats.org/officeDocument/2006/relationships/hyperlink" Target="https://dnd.su/spells/218-mirror-image/" TargetMode="External"/><Relationship Id="rId27" Type="http://schemas.openxmlformats.org/officeDocument/2006/relationships/hyperlink" Target="https://dnd.su/spells/258-mending/" TargetMode="External"/><Relationship Id="rId5" Type="http://schemas.openxmlformats.org/officeDocument/2006/relationships/hyperlink" Target="https://dnd.su/race/184-tortle/" TargetMode="External"/><Relationship Id="rId6" Type="http://schemas.openxmlformats.org/officeDocument/2006/relationships/hyperlink" Target="https://dnd.su/items/2265-imbued-wood-focus/" TargetMode="External"/><Relationship Id="rId29" Type="http://schemas.openxmlformats.org/officeDocument/2006/relationships/hyperlink" Target="https://dnd.su/spells/80-thaumaturgy/" TargetMode="External"/><Relationship Id="rId7" Type="http://schemas.openxmlformats.org/officeDocument/2006/relationships/hyperlink" Target="https://dnd.su/feats/179-strixhaven-initiate/" TargetMode="External"/><Relationship Id="rId8" Type="http://schemas.openxmlformats.org/officeDocument/2006/relationships/hyperlink" Target="https://dnd.su/feats/169-telekinetic/" TargetMode="External"/><Relationship Id="rId31" Type="http://schemas.openxmlformats.org/officeDocument/2006/relationships/hyperlink" Target="https://dnd.su/feats/118-tough/" TargetMode="External"/><Relationship Id="rId30" Type="http://schemas.openxmlformats.org/officeDocument/2006/relationships/hyperlink" Target="https://dnd.su/spells/100-haste/" TargetMode="External"/><Relationship Id="rId11" Type="http://schemas.openxmlformats.org/officeDocument/2006/relationships/hyperlink" Target="https://dnd.su/feats/158-metamagic-adept/" TargetMode="External"/><Relationship Id="rId33" Type="http://schemas.openxmlformats.org/officeDocument/2006/relationships/hyperlink" Target="https://dnd.su/spells/256-sending/" TargetMode="External"/><Relationship Id="rId10" Type="http://schemas.openxmlformats.org/officeDocument/2006/relationships/hyperlink" Target="https://dnd.su/spells/70-shield/" TargetMode="External"/><Relationship Id="rId32" Type="http://schemas.openxmlformats.org/officeDocument/2006/relationships/hyperlink" Target="https://dnd.su/spells/?search=%D0%A4%D0%BE%D1%80%D0%BC%D0%BE%D0%B2%D0%B0%D0%BD%D0%B8%D0%B5+%D0%B2%D0%BE%D0%B4%D1%8B" TargetMode="External"/><Relationship Id="rId13" Type="http://schemas.openxmlformats.org/officeDocument/2006/relationships/hyperlink" Target="https://dnd.su/spells/1-hellish-rebuke/" TargetMode="External"/><Relationship Id="rId35" Type="http://schemas.openxmlformats.org/officeDocument/2006/relationships/hyperlink" Target="https://dnd.su/spells/44-hypnotic-pattern/" TargetMode="External"/><Relationship Id="rId12" Type="http://schemas.openxmlformats.org/officeDocument/2006/relationships/hyperlink" Target="https://dnd.su/spells/204-fire-bolt/" TargetMode="External"/><Relationship Id="rId34" Type="http://schemas.openxmlformats.org/officeDocument/2006/relationships/hyperlink" Target="https://dnd.su/spells/105-guidance/" TargetMode="External"/><Relationship Id="rId15" Type="http://schemas.openxmlformats.org/officeDocument/2006/relationships/hyperlink" Target="https://dnd.su/spells/26-mage-hand/" TargetMode="External"/><Relationship Id="rId37" Type="http://schemas.openxmlformats.org/officeDocument/2006/relationships/hyperlink" Target="https://dnd.su/spells/325-confusion/" TargetMode="External"/><Relationship Id="rId14" Type="http://schemas.openxmlformats.org/officeDocument/2006/relationships/hyperlink" Target="https://dnd.su/feats/133-magic-initiate/" TargetMode="External"/><Relationship Id="rId36" Type="http://schemas.openxmlformats.org/officeDocument/2006/relationships/hyperlink" Target="https://5e14.dnd.su/spells/415-gust/" TargetMode="External"/><Relationship Id="rId17" Type="http://schemas.openxmlformats.org/officeDocument/2006/relationships/hyperlink" Target="https://dnd.su/feats/104-war-caster/" TargetMode="External"/><Relationship Id="rId39" Type="http://schemas.openxmlformats.org/officeDocument/2006/relationships/hyperlink" Target="https://dnd.su/items/2207-revelers-concertina/" TargetMode="External"/><Relationship Id="rId16" Type="http://schemas.openxmlformats.org/officeDocument/2006/relationships/hyperlink" Target="https://next.dnd.su/spells/10458-chromatic-orb/" TargetMode="External"/><Relationship Id="rId38" Type="http://schemas.openxmlformats.org/officeDocument/2006/relationships/hyperlink" Target="https://dnd.su/spells/3817-raulothims-psychic-lance/" TargetMode="External"/><Relationship Id="rId19" Type="http://schemas.openxmlformats.org/officeDocument/2006/relationships/hyperlink" Target="https://dnd.su/spells/276-command/" TargetMode="External"/><Relationship Id="rId18" Type="http://schemas.openxmlformats.org/officeDocument/2006/relationships/hyperlink" Target="https://dnd.su/spells/168-eldritch-blast/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nd.su/spells/178-guiding-bolt/" TargetMode="External"/><Relationship Id="rId22" Type="http://schemas.openxmlformats.org/officeDocument/2006/relationships/hyperlink" Target="https://dnd.su/spells/9-bless/" TargetMode="External"/><Relationship Id="rId21" Type="http://schemas.openxmlformats.org/officeDocument/2006/relationships/hyperlink" Target="https://next.dnd.su/spells/10629-sanctuary/" TargetMode="External"/><Relationship Id="rId24" Type="http://schemas.openxmlformats.org/officeDocument/2006/relationships/hyperlink" Target="https://dnd.su/spells/155-lesser-restoration/" TargetMode="External"/><Relationship Id="rId23" Type="http://schemas.openxmlformats.org/officeDocument/2006/relationships/hyperlink" Target="https://next.dnd.su/spells/10609-prayer-of-healing/" TargetMode="External"/><Relationship Id="rId1" Type="http://schemas.openxmlformats.org/officeDocument/2006/relationships/hyperlink" Target="https://roll20.net/compendium/dnd5e/Classes:Cleric?expansion=33335" TargetMode="External"/><Relationship Id="rId2" Type="http://schemas.openxmlformats.org/officeDocument/2006/relationships/hyperlink" Target="https://dnd.su/backgrounds/768-outlander/" TargetMode="External"/><Relationship Id="rId3" Type="http://schemas.openxmlformats.org/officeDocument/2006/relationships/hyperlink" Target="https://dnd.su/race/177-loxodon/" TargetMode="External"/><Relationship Id="rId4" Type="http://schemas.openxmlformats.org/officeDocument/2006/relationships/hyperlink" Target="https://dnd.su/race/177-loxodon/" TargetMode="External"/><Relationship Id="rId9" Type="http://schemas.openxmlformats.org/officeDocument/2006/relationships/hyperlink" Target="https://dnd.su/feats/171-chef/" TargetMode="External"/><Relationship Id="rId26" Type="http://schemas.openxmlformats.org/officeDocument/2006/relationships/hyperlink" Target="https://dnd.su/spells/24-revivify/" TargetMode="External"/><Relationship Id="rId25" Type="http://schemas.openxmlformats.org/officeDocument/2006/relationships/hyperlink" Target="https://dnd.su/spells/186-gentle-repose/" TargetMode="External"/><Relationship Id="rId28" Type="http://schemas.openxmlformats.org/officeDocument/2006/relationships/hyperlink" Target="https://dnd.su/spells/276-command/" TargetMode="External"/><Relationship Id="rId27" Type="http://schemas.openxmlformats.org/officeDocument/2006/relationships/hyperlink" Target="https://dnd.su/spells/3-aura-of-vitality/" TargetMode="External"/><Relationship Id="rId5" Type="http://schemas.openxmlformats.org/officeDocument/2006/relationships/hyperlink" Target="https://dnd.su/race/177-loxodon/" TargetMode="External"/><Relationship Id="rId6" Type="http://schemas.openxmlformats.org/officeDocument/2006/relationships/hyperlink" Target="https://dnd.su/race/177-loxodon/" TargetMode="External"/><Relationship Id="rId29" Type="http://schemas.openxmlformats.org/officeDocument/2006/relationships/hyperlink" Target="https://dnd.su/spells/252-comprehend-languages/" TargetMode="External"/><Relationship Id="rId7" Type="http://schemas.openxmlformats.org/officeDocument/2006/relationships/hyperlink" Target="https://dnd.su/race/177-loxodon/" TargetMode="External"/><Relationship Id="rId8" Type="http://schemas.openxmlformats.org/officeDocument/2006/relationships/hyperlink" Target="https://dnd.su/feats/131-keen-mind/" TargetMode="External"/><Relationship Id="rId31" Type="http://schemas.openxmlformats.org/officeDocument/2006/relationships/hyperlink" Target="https://dnd.su/spells/210-identify/" TargetMode="External"/><Relationship Id="rId30" Type="http://schemas.openxmlformats.org/officeDocument/2006/relationships/hyperlink" Target="https://dnd.su/spells/195-detect-magic/" TargetMode="External"/><Relationship Id="rId11" Type="http://schemas.openxmlformats.org/officeDocument/2006/relationships/hyperlink" Target="https://dnd.su/spells/185-nondetection/" TargetMode="External"/><Relationship Id="rId33" Type="http://schemas.openxmlformats.org/officeDocument/2006/relationships/hyperlink" Target="https://5e14.dnd.su/spells/196-detect-thoughts/" TargetMode="External"/><Relationship Id="rId10" Type="http://schemas.openxmlformats.org/officeDocument/2006/relationships/hyperlink" Target="https://5e14.dnd.su/spells/258-mending/" TargetMode="External"/><Relationship Id="rId32" Type="http://schemas.openxmlformats.org/officeDocument/2006/relationships/hyperlink" Target="https://dnd.su/spells/469-mind-spike/" TargetMode="External"/><Relationship Id="rId13" Type="http://schemas.openxmlformats.org/officeDocument/2006/relationships/hyperlink" Target="https://dnd.su/spells/105-guidance/" TargetMode="External"/><Relationship Id="rId12" Type="http://schemas.openxmlformats.org/officeDocument/2006/relationships/hyperlink" Target="https://dnd.su/items/95-ring-of-mind-shielding/" TargetMode="External"/><Relationship Id="rId34" Type="http://schemas.openxmlformats.org/officeDocument/2006/relationships/drawing" Target="../drawings/drawing3.xml"/><Relationship Id="rId15" Type="http://schemas.openxmlformats.org/officeDocument/2006/relationships/hyperlink" Target="https://5e14.dnd.su/spells/311-sacred-flame/" TargetMode="External"/><Relationship Id="rId14" Type="http://schemas.openxmlformats.org/officeDocument/2006/relationships/hyperlink" Target="https://dnd.su/spells/61-tongues/" TargetMode="External"/><Relationship Id="rId17" Type="http://schemas.openxmlformats.org/officeDocument/2006/relationships/hyperlink" Target="https://dnd.su/spells/307-light/" TargetMode="External"/><Relationship Id="rId16" Type="http://schemas.openxmlformats.org/officeDocument/2006/relationships/hyperlink" Target="https://dnd.su/spells/301-dispel-magic/" TargetMode="External"/><Relationship Id="rId19" Type="http://schemas.openxmlformats.org/officeDocument/2006/relationships/hyperlink" Target="https://dnd.su/spells/145-cure-wounds/" TargetMode="External"/><Relationship Id="rId18" Type="http://schemas.openxmlformats.org/officeDocument/2006/relationships/hyperlink" Target="https://dnd.su/spells/326-remove-cur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5" max="5" width="17.13"/>
    <col customWidth="1" min="13" max="13" width="15.88"/>
    <col customWidth="1" min="15" max="15" width="18.5"/>
  </cols>
  <sheetData>
    <row r="1">
      <c r="A1" s="1"/>
      <c r="B1" s="2" t="s">
        <v>0</v>
      </c>
      <c r="F1" s="3" t="s">
        <v>1</v>
      </c>
      <c r="G1" s="1" t="s">
        <v>2</v>
      </c>
      <c r="H1" s="4">
        <v>8.0</v>
      </c>
      <c r="I1" s="1" t="s">
        <v>3</v>
      </c>
      <c r="J1" s="5">
        <f>8+C7+C9</f>
        <v>14</v>
      </c>
      <c r="K1" s="1"/>
      <c r="L1" s="3" t="s">
        <v>4</v>
      </c>
      <c r="M1" s="1"/>
      <c r="N1" s="1"/>
      <c r="O1" s="1"/>
      <c r="P1" s="1"/>
      <c r="Q1" s="1"/>
      <c r="R1" s="1"/>
      <c r="S1" s="1"/>
    </row>
    <row r="2">
      <c r="A2" s="6"/>
      <c r="B2" s="7" t="s">
        <v>5</v>
      </c>
      <c r="C2" s="7" t="s">
        <v>6</v>
      </c>
      <c r="D2" s="7" t="s">
        <v>7</v>
      </c>
      <c r="E2" s="8" t="s">
        <v>8</v>
      </c>
      <c r="F2" s="8" t="s">
        <v>9</v>
      </c>
      <c r="G2" s="8" t="s">
        <v>10</v>
      </c>
      <c r="H2" s="9" t="s">
        <v>11</v>
      </c>
      <c r="I2" s="10"/>
      <c r="J2" s="11"/>
      <c r="K2" s="12" t="s">
        <v>12</v>
      </c>
      <c r="L2" s="10"/>
      <c r="M2" s="11"/>
      <c r="N2" s="13" t="s">
        <v>13</v>
      </c>
      <c r="O2" s="13" t="s">
        <v>14</v>
      </c>
      <c r="P2" s="13" t="s">
        <v>15</v>
      </c>
      <c r="Q2" s="13" t="s">
        <v>16</v>
      </c>
      <c r="R2" s="1"/>
      <c r="S2" s="1"/>
    </row>
    <row r="3">
      <c r="A3" s="7" t="s">
        <v>17</v>
      </c>
      <c r="B3" s="14">
        <v>12.0</v>
      </c>
      <c r="C3" s="14">
        <f t="shared" ref="C3:C8" si="1">FLOOR((B3-10)/2,1)</f>
        <v>1</v>
      </c>
      <c r="D3" s="15">
        <f>C3+C9</f>
        <v>4</v>
      </c>
      <c r="E3" s="16">
        <f>C4+10+C7</f>
        <v>17</v>
      </c>
      <c r="F3" s="16">
        <f>C4+C9</f>
        <v>7</v>
      </c>
      <c r="G3" s="16">
        <f>30+O3+10</f>
        <v>55</v>
      </c>
      <c r="H3" s="17" t="s">
        <v>18</v>
      </c>
      <c r="I3" s="11"/>
      <c r="J3" s="18" t="s">
        <v>19</v>
      </c>
      <c r="K3" s="12" t="s">
        <v>20</v>
      </c>
      <c r="L3" s="11"/>
      <c r="M3" s="19" t="s">
        <v>21</v>
      </c>
      <c r="N3" s="13" t="s">
        <v>22</v>
      </c>
      <c r="O3" s="20">
        <f>10+FLOOR((H1-2)/4,1)*5</f>
        <v>15</v>
      </c>
      <c r="P3" s="20">
        <f>H1+C7</f>
        <v>11</v>
      </c>
      <c r="Q3" s="21">
        <v>10.0</v>
      </c>
      <c r="R3" s="1"/>
      <c r="S3" s="1"/>
    </row>
    <row r="4">
      <c r="A4" s="7" t="s">
        <v>23</v>
      </c>
      <c r="B4" s="14">
        <v>18.0</v>
      </c>
      <c r="C4" s="14">
        <f t="shared" si="1"/>
        <v>4</v>
      </c>
      <c r="D4" s="15">
        <f>C4+C9</f>
        <v>7</v>
      </c>
      <c r="E4" s="22" t="s">
        <v>24</v>
      </c>
      <c r="F4" s="22" t="s">
        <v>25</v>
      </c>
      <c r="G4" s="22" t="s">
        <v>26</v>
      </c>
      <c r="H4" s="23" t="s">
        <v>27</v>
      </c>
      <c r="I4" s="24"/>
      <c r="J4" s="18" t="s">
        <v>28</v>
      </c>
      <c r="K4" s="25" t="s">
        <v>29</v>
      </c>
      <c r="L4" s="11"/>
      <c r="M4" s="19" t="s">
        <v>21</v>
      </c>
      <c r="N4" s="13" t="s">
        <v>30</v>
      </c>
      <c r="O4" s="20">
        <v>5.0</v>
      </c>
      <c r="P4" s="1"/>
      <c r="Q4" s="1"/>
      <c r="R4" s="1"/>
      <c r="S4" s="1"/>
    </row>
    <row r="5">
      <c r="A5" s="7" t="s">
        <v>31</v>
      </c>
      <c r="B5" s="14">
        <v>12.0</v>
      </c>
      <c r="C5" s="14">
        <f t="shared" si="1"/>
        <v>1</v>
      </c>
      <c r="D5" s="14">
        <f t="shared" ref="D5:D8" si="2">C5</f>
        <v>1</v>
      </c>
      <c r="E5" s="26">
        <v>56.0</v>
      </c>
      <c r="F5" s="27">
        <v>56.0</v>
      </c>
      <c r="G5" s="27">
        <v>0.0</v>
      </c>
      <c r="H5" s="9" t="s">
        <v>32</v>
      </c>
      <c r="I5" s="11"/>
      <c r="J5" s="18" t="s">
        <v>28</v>
      </c>
      <c r="K5" s="12" t="s">
        <v>33</v>
      </c>
      <c r="L5" s="11"/>
      <c r="M5" s="19" t="s">
        <v>21</v>
      </c>
      <c r="N5" s="13" t="s">
        <v>34</v>
      </c>
      <c r="O5" s="13" t="s">
        <v>35</v>
      </c>
      <c r="P5" s="1"/>
      <c r="Q5" s="1"/>
      <c r="R5" s="1"/>
      <c r="S5" s="1"/>
    </row>
    <row r="6">
      <c r="A6" s="7" t="s">
        <v>36</v>
      </c>
      <c r="B6" s="14">
        <v>8.0</v>
      </c>
      <c r="C6" s="14">
        <f t="shared" si="1"/>
        <v>-1</v>
      </c>
      <c r="D6" s="14">
        <f t="shared" si="2"/>
        <v>-1</v>
      </c>
      <c r="E6" s="22" t="s">
        <v>37</v>
      </c>
      <c r="F6" s="28" t="s">
        <v>38</v>
      </c>
      <c r="G6" s="28" t="s">
        <v>39</v>
      </c>
      <c r="H6" s="9" t="s">
        <v>40</v>
      </c>
      <c r="I6" s="11"/>
      <c r="J6" s="18" t="s">
        <v>28</v>
      </c>
      <c r="K6" s="12" t="s">
        <v>41</v>
      </c>
      <c r="L6" s="11"/>
      <c r="M6" s="19" t="s">
        <v>21</v>
      </c>
      <c r="N6" s="13" t="s">
        <v>42</v>
      </c>
      <c r="O6" s="13"/>
      <c r="P6" s="13" t="s">
        <v>43</v>
      </c>
      <c r="Q6" s="13" t="s">
        <v>44</v>
      </c>
      <c r="R6" s="1"/>
      <c r="S6" s="1"/>
    </row>
    <row r="7">
      <c r="A7" s="7" t="s">
        <v>45</v>
      </c>
      <c r="B7" s="14">
        <v>16.0</v>
      </c>
      <c r="C7" s="14">
        <f t="shared" si="1"/>
        <v>3</v>
      </c>
      <c r="D7" s="14">
        <f t="shared" si="2"/>
        <v>3</v>
      </c>
      <c r="E7" s="29">
        <v>10.0</v>
      </c>
      <c r="F7" s="28"/>
      <c r="G7" s="30"/>
      <c r="H7" s="9" t="s">
        <v>46</v>
      </c>
      <c r="I7" s="11"/>
      <c r="J7" s="18" t="s">
        <v>47</v>
      </c>
      <c r="K7" s="12" t="s">
        <v>48</v>
      </c>
      <c r="L7" s="11"/>
      <c r="M7" s="31" t="s">
        <v>49</v>
      </c>
      <c r="N7" s="13" t="s">
        <v>50</v>
      </c>
      <c r="O7" s="13"/>
      <c r="P7" s="20">
        <v>2.0</v>
      </c>
      <c r="Q7" s="20">
        <v>2.0</v>
      </c>
      <c r="R7" s="1"/>
      <c r="S7" s="1"/>
    </row>
    <row r="8">
      <c r="A8" s="7" t="s">
        <v>51</v>
      </c>
      <c r="B8" s="14">
        <v>12.0</v>
      </c>
      <c r="C8" s="14">
        <f t="shared" si="1"/>
        <v>1</v>
      </c>
      <c r="D8" s="14">
        <f t="shared" si="2"/>
        <v>1</v>
      </c>
      <c r="E8" s="32" t="s">
        <v>52</v>
      </c>
      <c r="F8" s="28"/>
      <c r="G8" s="28"/>
      <c r="H8" s="9" t="s">
        <v>53</v>
      </c>
      <c r="I8" s="11"/>
      <c r="J8" s="18" t="s">
        <v>47</v>
      </c>
      <c r="K8" s="12" t="s">
        <v>54</v>
      </c>
      <c r="L8" s="11"/>
      <c r="M8" s="19" t="s">
        <v>47</v>
      </c>
      <c r="N8" s="13" t="s">
        <v>55</v>
      </c>
      <c r="O8" s="13"/>
      <c r="P8" s="13" t="s">
        <v>56</v>
      </c>
      <c r="Q8" s="13"/>
      <c r="R8" s="1"/>
      <c r="S8" s="1"/>
    </row>
    <row r="9">
      <c r="A9" s="32"/>
      <c r="B9" s="8" t="s">
        <v>57</v>
      </c>
      <c r="C9" s="16">
        <f>FLOOR((H1-1)/4,1)+2</f>
        <v>3</v>
      </c>
      <c r="D9" s="32"/>
      <c r="E9" s="16">
        <f>C4+C9</f>
        <v>7</v>
      </c>
      <c r="F9" s="28"/>
      <c r="G9" s="28"/>
      <c r="H9" s="9" t="s">
        <v>58</v>
      </c>
      <c r="I9" s="11"/>
      <c r="J9" s="18"/>
      <c r="K9" s="12" t="s">
        <v>59</v>
      </c>
      <c r="L9" s="11"/>
      <c r="M9" s="19" t="s">
        <v>47</v>
      </c>
      <c r="N9" s="13" t="s">
        <v>60</v>
      </c>
      <c r="O9" s="13"/>
      <c r="P9" s="20">
        <v>2.0</v>
      </c>
      <c r="Q9" s="13"/>
      <c r="R9" s="1"/>
      <c r="S9" s="1"/>
    </row>
    <row r="10">
      <c r="A10" s="33" t="s">
        <v>61</v>
      </c>
      <c r="B10" s="7" t="s">
        <v>62</v>
      </c>
      <c r="C10" s="14">
        <f>C4+FLOOR($C$9*D10,1)</f>
        <v>7</v>
      </c>
      <c r="D10" s="15">
        <v>1.0</v>
      </c>
      <c r="E10" s="34" t="s">
        <v>63</v>
      </c>
      <c r="F10" s="34" t="s">
        <v>64</v>
      </c>
      <c r="G10" s="34" t="s">
        <v>65</v>
      </c>
      <c r="H10" s="9"/>
      <c r="I10" s="11"/>
      <c r="J10" s="18"/>
      <c r="K10" s="12" t="s">
        <v>66</v>
      </c>
      <c r="L10" s="11"/>
      <c r="M10" s="19" t="s">
        <v>47</v>
      </c>
      <c r="N10" s="13" t="s">
        <v>67</v>
      </c>
      <c r="O10" s="13"/>
      <c r="P10" s="1"/>
      <c r="Q10" s="1"/>
      <c r="R10" s="1"/>
      <c r="S10" s="1"/>
    </row>
    <row r="11">
      <c r="A11" s="33" t="s">
        <v>68</v>
      </c>
      <c r="B11" s="7" t="s">
        <v>69</v>
      </c>
      <c r="C11" s="14">
        <f>C6+FLOOR($C$9*D11,1)</f>
        <v>-1</v>
      </c>
      <c r="D11" s="14">
        <v>0.0</v>
      </c>
      <c r="E11" s="13" t="s">
        <v>70</v>
      </c>
      <c r="F11" s="34" t="s">
        <v>71</v>
      </c>
      <c r="G11" s="34"/>
      <c r="H11" s="9"/>
      <c r="I11" s="11"/>
      <c r="J11" s="18"/>
      <c r="K11" s="12" t="s">
        <v>72</v>
      </c>
      <c r="L11" s="11"/>
      <c r="M11" s="19" t="s">
        <v>47</v>
      </c>
      <c r="N11" s="1"/>
      <c r="O11" s="1"/>
      <c r="P11" s="1"/>
      <c r="Q11" s="1"/>
      <c r="R11" s="1"/>
      <c r="S11" s="1"/>
    </row>
    <row r="12">
      <c r="A12" s="33" t="s">
        <v>73</v>
      </c>
      <c r="B12" s="7" t="s">
        <v>74</v>
      </c>
      <c r="C12" s="14">
        <f>C3+FLOOR($C$9*D12,1)</f>
        <v>4</v>
      </c>
      <c r="D12" s="15">
        <v>1.0</v>
      </c>
      <c r="E12" s="13" t="s">
        <v>75</v>
      </c>
      <c r="F12" s="34" t="s">
        <v>71</v>
      </c>
      <c r="G12" s="34"/>
      <c r="H12" s="9"/>
      <c r="I12" s="11"/>
      <c r="J12" s="18"/>
      <c r="K12" s="12" t="s">
        <v>76</v>
      </c>
      <c r="L12" s="11"/>
      <c r="M12" s="19" t="s">
        <v>47</v>
      </c>
      <c r="N12" s="1"/>
      <c r="O12" s="1"/>
      <c r="P12" s="1"/>
      <c r="Q12" s="1"/>
      <c r="R12" s="1"/>
      <c r="S12" s="1"/>
    </row>
    <row r="13">
      <c r="A13" s="33" t="s">
        <v>77</v>
      </c>
      <c r="B13" s="7" t="s">
        <v>78</v>
      </c>
      <c r="C13" s="14">
        <f>C7+FLOOR($C$9*D13,1)</f>
        <v>6</v>
      </c>
      <c r="D13" s="15">
        <v>1.0</v>
      </c>
      <c r="E13" s="35"/>
      <c r="F13" s="36"/>
      <c r="G13" s="36"/>
      <c r="H13" s="9"/>
      <c r="I13" s="11"/>
      <c r="J13" s="18"/>
      <c r="K13" s="12" t="s">
        <v>79</v>
      </c>
      <c r="L13" s="11"/>
      <c r="M13" s="19" t="s">
        <v>47</v>
      </c>
      <c r="N13" s="7" t="s">
        <v>2</v>
      </c>
      <c r="O13" s="7" t="s">
        <v>80</v>
      </c>
      <c r="P13" s="7" t="s">
        <v>81</v>
      </c>
      <c r="Q13" s="7" t="s">
        <v>2</v>
      </c>
      <c r="R13" s="7" t="s">
        <v>80</v>
      </c>
      <c r="S13" s="7" t="s">
        <v>81</v>
      </c>
    </row>
    <row r="14">
      <c r="A14" s="33" t="s">
        <v>77</v>
      </c>
      <c r="B14" s="7" t="s">
        <v>82</v>
      </c>
      <c r="C14" s="14">
        <f t="shared" ref="C14:C15" si="3">C7+FLOOR($C$9*D14,1)</f>
        <v>3</v>
      </c>
      <c r="D14" s="14">
        <v>0.0</v>
      </c>
      <c r="E14" s="35"/>
      <c r="F14" s="36"/>
      <c r="G14" s="36"/>
      <c r="H14" s="9"/>
      <c r="I14" s="11"/>
      <c r="J14" s="18"/>
      <c r="K14" s="12" t="s">
        <v>83</v>
      </c>
      <c r="L14" s="11"/>
      <c r="M14" s="19" t="s">
        <v>47</v>
      </c>
      <c r="N14" s="14">
        <v>0.0</v>
      </c>
      <c r="O14" s="37" t="s">
        <v>84</v>
      </c>
      <c r="P14" s="7" t="s">
        <v>85</v>
      </c>
      <c r="Q14" s="14">
        <v>1.0</v>
      </c>
      <c r="R14" s="37" t="s">
        <v>86</v>
      </c>
      <c r="S14" s="7" t="s">
        <v>85</v>
      </c>
    </row>
    <row r="15">
      <c r="A15" s="33" t="s">
        <v>87</v>
      </c>
      <c r="B15" s="7" t="s">
        <v>88</v>
      </c>
      <c r="C15" s="14">
        <f t="shared" si="3"/>
        <v>4</v>
      </c>
      <c r="D15" s="15">
        <v>1.0</v>
      </c>
      <c r="E15" s="35"/>
      <c r="F15" s="36"/>
      <c r="G15" s="36"/>
      <c r="H15" s="9"/>
      <c r="I15" s="11"/>
      <c r="J15" s="18"/>
      <c r="K15" s="12" t="s">
        <v>89</v>
      </c>
      <c r="L15" s="11"/>
      <c r="M15" s="19" t="s">
        <v>47</v>
      </c>
      <c r="N15" s="14">
        <v>0.0</v>
      </c>
      <c r="O15" s="37" t="s">
        <v>90</v>
      </c>
      <c r="P15" s="7" t="s">
        <v>85</v>
      </c>
      <c r="Q15" s="14">
        <v>1.0</v>
      </c>
      <c r="R15" s="37" t="s">
        <v>91</v>
      </c>
      <c r="S15" s="7" t="s">
        <v>85</v>
      </c>
    </row>
    <row r="16">
      <c r="A16" s="33" t="s">
        <v>87</v>
      </c>
      <c r="B16" s="7" t="s">
        <v>92</v>
      </c>
      <c r="C16" s="14">
        <f>C8+FLOOR($C$9*D16,1)</f>
        <v>1</v>
      </c>
      <c r="D16" s="14">
        <v>0.0</v>
      </c>
      <c r="E16" s="35"/>
      <c r="F16" s="36"/>
      <c r="G16" s="36"/>
      <c r="H16" s="9"/>
      <c r="I16" s="11"/>
      <c r="J16" s="18"/>
      <c r="K16" s="12" t="s">
        <v>93</v>
      </c>
      <c r="L16" s="11"/>
      <c r="M16" s="19" t="s">
        <v>47</v>
      </c>
      <c r="N16" s="14">
        <v>0.0</v>
      </c>
      <c r="O16" s="37" t="s">
        <v>94</v>
      </c>
      <c r="P16" s="7" t="s">
        <v>95</v>
      </c>
      <c r="Q16" s="14">
        <v>1.0</v>
      </c>
      <c r="R16" s="37" t="s">
        <v>96</v>
      </c>
      <c r="S16" s="7" t="s">
        <v>85</v>
      </c>
    </row>
    <row r="17">
      <c r="A17" s="33" t="s">
        <v>68</v>
      </c>
      <c r="B17" s="7" t="s">
        <v>97</v>
      </c>
      <c r="C17" s="14">
        <f>C6+FLOOR($C$9*D17,1)</f>
        <v>-1</v>
      </c>
      <c r="D17" s="14">
        <v>0.0</v>
      </c>
      <c r="E17" s="38"/>
      <c r="F17" s="34"/>
      <c r="G17" s="34"/>
      <c r="H17" s="9"/>
      <c r="I17" s="11"/>
      <c r="J17" s="18"/>
      <c r="K17" s="12" t="s">
        <v>98</v>
      </c>
      <c r="L17" s="11"/>
      <c r="M17" s="19" t="s">
        <v>99</v>
      </c>
      <c r="N17" s="14">
        <v>0.0</v>
      </c>
      <c r="O17" s="37" t="s">
        <v>100</v>
      </c>
      <c r="P17" s="7" t="s">
        <v>95</v>
      </c>
      <c r="Q17" s="14">
        <v>1.0</v>
      </c>
      <c r="R17" s="37" t="s">
        <v>101</v>
      </c>
      <c r="S17" s="7" t="s">
        <v>85</v>
      </c>
    </row>
    <row r="18">
      <c r="A18" s="33" t="s">
        <v>61</v>
      </c>
      <c r="B18" s="7" t="s">
        <v>102</v>
      </c>
      <c r="C18" s="14">
        <f>C4+FLOOR($C$9*D18,1)</f>
        <v>4</v>
      </c>
      <c r="D18" s="14">
        <v>0.0</v>
      </c>
      <c r="E18" s="38"/>
      <c r="F18" s="34"/>
      <c r="G18" s="34"/>
      <c r="H18" s="9"/>
      <c r="I18" s="11"/>
      <c r="J18" s="18"/>
      <c r="K18" s="12" t="s">
        <v>103</v>
      </c>
      <c r="L18" s="11"/>
      <c r="M18" s="39" t="s">
        <v>104</v>
      </c>
      <c r="N18" s="14">
        <v>0.0</v>
      </c>
      <c r="O18" s="37" t="s">
        <v>105</v>
      </c>
      <c r="P18" s="7" t="s">
        <v>95</v>
      </c>
      <c r="Q18" s="14">
        <v>2.0</v>
      </c>
      <c r="R18" s="37" t="s">
        <v>106</v>
      </c>
      <c r="S18" s="7" t="s">
        <v>85</v>
      </c>
    </row>
    <row r="19">
      <c r="A19" s="33" t="s">
        <v>68</v>
      </c>
      <c r="B19" s="7" t="s">
        <v>107</v>
      </c>
      <c r="C19" s="14">
        <f t="shared" ref="C19:C21" si="4">C6+FLOOR($C$9*D19,1)</f>
        <v>-1</v>
      </c>
      <c r="D19" s="14">
        <v>0.0</v>
      </c>
      <c r="E19" s="38"/>
      <c r="F19" s="34"/>
      <c r="G19" s="13"/>
      <c r="H19" s="9"/>
      <c r="I19" s="11"/>
      <c r="J19" s="18"/>
      <c r="K19" s="12" t="s">
        <v>108</v>
      </c>
      <c r="L19" s="11"/>
      <c r="M19" s="19" t="s">
        <v>47</v>
      </c>
      <c r="N19" s="14">
        <v>0.0</v>
      </c>
      <c r="O19" s="40" t="s">
        <v>109</v>
      </c>
      <c r="P19" s="7" t="s">
        <v>95</v>
      </c>
      <c r="Q19" s="14">
        <v>2.0</v>
      </c>
      <c r="R19" s="37" t="s">
        <v>110</v>
      </c>
      <c r="S19" s="7" t="s">
        <v>85</v>
      </c>
    </row>
    <row r="20">
      <c r="A20" s="33" t="s">
        <v>77</v>
      </c>
      <c r="B20" s="7" t="s">
        <v>111</v>
      </c>
      <c r="C20" s="14">
        <f t="shared" si="4"/>
        <v>3</v>
      </c>
      <c r="D20" s="14">
        <v>0.0</v>
      </c>
      <c r="E20" s="13"/>
      <c r="F20" s="13"/>
      <c r="G20" s="13"/>
      <c r="H20" s="9"/>
      <c r="I20" s="11"/>
      <c r="J20" s="18"/>
      <c r="K20" s="41" t="s">
        <v>112</v>
      </c>
      <c r="L20" s="11"/>
      <c r="M20" s="31" t="s">
        <v>113</v>
      </c>
      <c r="N20" s="7"/>
      <c r="O20" s="7"/>
      <c r="P20" s="7"/>
      <c r="Q20" s="7"/>
      <c r="R20" s="7"/>
      <c r="S20" s="7"/>
    </row>
    <row r="21">
      <c r="A21" s="33" t="s">
        <v>87</v>
      </c>
      <c r="B21" s="7" t="s">
        <v>114</v>
      </c>
      <c r="C21" s="14">
        <f t="shared" si="4"/>
        <v>1</v>
      </c>
      <c r="D21" s="14">
        <v>0.0</v>
      </c>
      <c r="E21" s="13"/>
      <c r="F21" s="13"/>
      <c r="G21" s="13"/>
      <c r="H21" s="9"/>
      <c r="I21" s="11"/>
      <c r="J21" s="18"/>
      <c r="K21" s="12" t="s">
        <v>115</v>
      </c>
      <c r="L21" s="11"/>
      <c r="M21" s="19" t="s">
        <v>47</v>
      </c>
      <c r="N21" s="7"/>
      <c r="O21" s="7"/>
      <c r="P21" s="7"/>
      <c r="Q21" s="7"/>
      <c r="R21" s="7"/>
      <c r="S21" s="7"/>
    </row>
    <row r="22">
      <c r="A22" s="33" t="s">
        <v>68</v>
      </c>
      <c r="B22" s="7" t="s">
        <v>116</v>
      </c>
      <c r="C22" s="14">
        <f>C7+FLOOR($C$9*D22,1)</f>
        <v>3</v>
      </c>
      <c r="D22" s="14">
        <v>0.0</v>
      </c>
      <c r="E22" s="13"/>
      <c r="F22" s="13"/>
      <c r="G22" s="13"/>
      <c r="H22" s="9"/>
      <c r="I22" s="11"/>
      <c r="J22" s="18"/>
      <c r="K22" s="12" t="s">
        <v>117</v>
      </c>
      <c r="L22" s="11"/>
      <c r="M22" s="19" t="s">
        <v>47</v>
      </c>
      <c r="N22" s="7"/>
      <c r="O22" s="7"/>
      <c r="P22" s="7"/>
      <c r="Q22" s="7"/>
      <c r="R22" s="7"/>
      <c r="S22" s="7"/>
    </row>
    <row r="23">
      <c r="A23" s="33" t="s">
        <v>77</v>
      </c>
      <c r="B23" s="7" t="s">
        <v>118</v>
      </c>
      <c r="C23" s="14">
        <f>C7+FLOOR($C$9*D23,1)</f>
        <v>6</v>
      </c>
      <c r="D23" s="15">
        <v>1.0</v>
      </c>
      <c r="E23" s="13"/>
      <c r="F23" s="13"/>
      <c r="G23" s="13"/>
      <c r="H23" s="9"/>
      <c r="I23" s="11"/>
      <c r="J23" s="18"/>
      <c r="K23" s="12" t="s">
        <v>85</v>
      </c>
      <c r="L23" s="11"/>
      <c r="M23" s="31" t="s">
        <v>113</v>
      </c>
      <c r="N23" s="7"/>
      <c r="O23" s="7"/>
      <c r="P23" s="7"/>
      <c r="Q23" s="7"/>
      <c r="R23" s="7"/>
      <c r="S23" s="7"/>
    </row>
    <row r="24">
      <c r="A24" s="33" t="s">
        <v>68</v>
      </c>
      <c r="B24" s="7" t="s">
        <v>119</v>
      </c>
      <c r="C24" s="14">
        <f>C6+FLOOR($C$9*D24,1)</f>
        <v>-1</v>
      </c>
      <c r="D24" s="14">
        <v>0.0</v>
      </c>
      <c r="E24" s="42" t="s">
        <v>120</v>
      </c>
      <c r="F24" s="10"/>
      <c r="G24" s="11"/>
      <c r="H24" s="9"/>
      <c r="I24" s="11"/>
      <c r="J24" s="18"/>
      <c r="K24" s="41" t="s">
        <v>121</v>
      </c>
      <c r="L24" s="11"/>
      <c r="M24" s="31" t="s">
        <v>113</v>
      </c>
      <c r="N24" s="7"/>
      <c r="O24" s="7"/>
      <c r="P24" s="7"/>
      <c r="Q24" s="7"/>
      <c r="R24" s="7"/>
      <c r="S24" s="7"/>
    </row>
    <row r="25">
      <c r="A25" s="33" t="s">
        <v>61</v>
      </c>
      <c r="B25" s="7" t="s">
        <v>122</v>
      </c>
      <c r="C25" s="14">
        <f>C4+FLOOR($C$9*D25,1)</f>
        <v>7</v>
      </c>
      <c r="D25" s="15">
        <v>1.0</v>
      </c>
      <c r="E25" s="43"/>
      <c r="F25" s="43" t="s">
        <v>123</v>
      </c>
      <c r="G25" s="43" t="s">
        <v>124</v>
      </c>
      <c r="H25" s="9"/>
      <c r="I25" s="11"/>
      <c r="J25" s="18"/>
      <c r="K25" s="12" t="s">
        <v>125</v>
      </c>
      <c r="L25" s="11"/>
      <c r="M25" s="19" t="s">
        <v>47</v>
      </c>
      <c r="N25" s="7"/>
      <c r="O25" s="7"/>
      <c r="P25" s="7"/>
      <c r="Q25" s="7"/>
      <c r="R25" s="7"/>
      <c r="S25" s="7"/>
    </row>
    <row r="26">
      <c r="A26" s="44" t="s">
        <v>87</v>
      </c>
      <c r="B26" s="7" t="s">
        <v>126</v>
      </c>
      <c r="C26" s="14">
        <f>C8+FLOOR($C$9*D26,1)</f>
        <v>1</v>
      </c>
      <c r="D26" s="45">
        <v>0.0</v>
      </c>
      <c r="E26" s="43" t="s">
        <v>127</v>
      </c>
      <c r="F26" s="43"/>
      <c r="G26" s="43"/>
      <c r="H26" s="9"/>
      <c r="I26" s="11"/>
      <c r="J26" s="18"/>
      <c r="K26" s="41" t="s">
        <v>128</v>
      </c>
      <c r="L26" s="11"/>
      <c r="M26" s="31" t="s">
        <v>129</v>
      </c>
      <c r="N26" s="7"/>
      <c r="O26" s="7"/>
      <c r="P26" s="7"/>
      <c r="Q26" s="7"/>
      <c r="R26" s="7"/>
      <c r="S26" s="7"/>
    </row>
    <row r="27">
      <c r="A27" s="33" t="s">
        <v>77</v>
      </c>
      <c r="B27" s="7" t="s">
        <v>130</v>
      </c>
      <c r="C27" s="14">
        <f>C7+FLOOR($C$9*D27,1)</f>
        <v>3</v>
      </c>
      <c r="D27" s="14">
        <v>0.0</v>
      </c>
      <c r="E27" s="43" t="s">
        <v>131</v>
      </c>
      <c r="F27" s="43"/>
      <c r="G27" s="43"/>
      <c r="H27" s="9"/>
      <c r="I27" s="11"/>
      <c r="J27" s="18"/>
      <c r="K27" s="46" t="s">
        <v>132</v>
      </c>
      <c r="L27" s="11"/>
      <c r="M27" s="31" t="s">
        <v>113</v>
      </c>
      <c r="N27" s="7"/>
      <c r="O27" s="7"/>
      <c r="P27" s="7"/>
      <c r="Q27" s="7"/>
      <c r="R27" s="7"/>
      <c r="S27" s="7"/>
    </row>
    <row r="28">
      <c r="A28" s="33"/>
      <c r="B28" s="7"/>
      <c r="C28" s="7"/>
      <c r="D28" s="7"/>
      <c r="E28" s="43" t="s">
        <v>133</v>
      </c>
      <c r="F28" s="47">
        <v>60.0</v>
      </c>
      <c r="G28" s="43"/>
      <c r="H28" s="9"/>
      <c r="I28" s="11"/>
      <c r="J28" s="18"/>
      <c r="K28" s="12"/>
      <c r="L28" s="11"/>
      <c r="M28" s="31"/>
      <c r="N28" s="7"/>
      <c r="O28" s="7"/>
      <c r="P28" s="7"/>
      <c r="Q28" s="7"/>
      <c r="R28" s="7"/>
      <c r="S28" s="7"/>
    </row>
    <row r="29">
      <c r="A29" s="33"/>
      <c r="B29" s="7" t="s">
        <v>134</v>
      </c>
      <c r="C29" s="14">
        <f>B7</f>
        <v>16</v>
      </c>
      <c r="D29" s="7"/>
      <c r="E29" s="43" t="s">
        <v>135</v>
      </c>
      <c r="F29" s="43"/>
      <c r="G29" s="43"/>
      <c r="H29" s="9"/>
      <c r="I29" s="11"/>
      <c r="J29" s="18"/>
      <c r="K29" s="12"/>
      <c r="L29" s="11"/>
      <c r="M29" s="31"/>
      <c r="N29" s="7"/>
      <c r="O29" s="7"/>
      <c r="P29" s="7"/>
      <c r="Q29" s="7"/>
      <c r="R29" s="7"/>
      <c r="S29" s="7"/>
    </row>
    <row r="30">
      <c r="A30" s="48"/>
      <c r="B30" s="49" t="s">
        <v>136</v>
      </c>
      <c r="C30" s="10"/>
      <c r="D30" s="11"/>
      <c r="E30" s="1"/>
      <c r="F30" s="1"/>
      <c r="G30" s="1"/>
      <c r="H30" s="9"/>
      <c r="I30" s="11"/>
      <c r="J30" s="18"/>
      <c r="K30" s="12"/>
      <c r="L30" s="11"/>
      <c r="M30" s="31"/>
      <c r="N30" s="7"/>
      <c r="O30" s="7"/>
      <c r="P30" s="7"/>
      <c r="Q30" s="7"/>
      <c r="R30" s="7"/>
      <c r="S30" s="7"/>
    </row>
    <row r="31">
      <c r="A31" s="48"/>
      <c r="B31" s="49" t="s">
        <v>137</v>
      </c>
      <c r="C31" s="10"/>
      <c r="D31" s="11"/>
      <c r="E31" s="1"/>
      <c r="F31" s="1"/>
      <c r="G31" s="1"/>
      <c r="H31" s="9"/>
      <c r="I31" s="11"/>
      <c r="J31" s="18"/>
      <c r="K31" s="12"/>
      <c r="L31" s="11"/>
      <c r="M31" s="31"/>
      <c r="N31" s="7"/>
      <c r="O31" s="7"/>
      <c r="P31" s="7"/>
      <c r="Q31" s="7"/>
      <c r="R31" s="7"/>
      <c r="S31" s="7"/>
    </row>
    <row r="32">
      <c r="A32" s="48"/>
      <c r="B32" s="49" t="s">
        <v>138</v>
      </c>
      <c r="C32" s="10"/>
      <c r="D32" s="11"/>
      <c r="E32" s="1"/>
      <c r="F32" s="1"/>
      <c r="G32" s="1"/>
      <c r="H32" s="9"/>
      <c r="I32" s="11"/>
      <c r="J32" s="18"/>
      <c r="K32" s="12"/>
      <c r="L32" s="11"/>
      <c r="M32" s="31"/>
      <c r="N32" s="7"/>
      <c r="O32" s="7"/>
      <c r="P32" s="7"/>
      <c r="Q32" s="7"/>
      <c r="R32" s="7"/>
      <c r="S32" s="7"/>
    </row>
    <row r="35">
      <c r="A35" s="50" t="s">
        <v>63</v>
      </c>
      <c r="B35" s="50" t="s">
        <v>139</v>
      </c>
    </row>
    <row r="36">
      <c r="A36" s="51" t="s">
        <v>140</v>
      </c>
      <c r="B36" s="50">
        <v>180.0</v>
      </c>
    </row>
    <row r="37">
      <c r="A37" s="51" t="s">
        <v>141</v>
      </c>
      <c r="B37" s="50">
        <v>180.0</v>
      </c>
    </row>
    <row r="38">
      <c r="A38" s="51" t="s">
        <v>142</v>
      </c>
      <c r="B38" s="50">
        <v>180.0</v>
      </c>
    </row>
    <row r="39">
      <c r="A39" s="51" t="s">
        <v>143</v>
      </c>
      <c r="B39" s="50">
        <v>180.0</v>
      </c>
    </row>
    <row r="40">
      <c r="A40" s="52" t="s">
        <v>144</v>
      </c>
      <c r="B40" s="50">
        <v>180.0</v>
      </c>
    </row>
    <row r="41">
      <c r="A41" s="52" t="s">
        <v>145</v>
      </c>
      <c r="B41" s="50">
        <v>180.0</v>
      </c>
    </row>
    <row r="42">
      <c r="A42" s="52" t="s">
        <v>146</v>
      </c>
      <c r="B42" s="50">
        <v>180.0</v>
      </c>
    </row>
    <row r="43">
      <c r="A43" s="6"/>
      <c r="B43" s="53"/>
    </row>
  </sheetData>
  <mergeCells count="67">
    <mergeCell ref="H28:I28"/>
    <mergeCell ref="H29:I29"/>
    <mergeCell ref="H22:I22"/>
    <mergeCell ref="H23:I23"/>
    <mergeCell ref="E24:G24"/>
    <mergeCell ref="H24:I24"/>
    <mergeCell ref="H25:I25"/>
    <mergeCell ref="H26:I26"/>
    <mergeCell ref="H27:I27"/>
    <mergeCell ref="K30:L30"/>
    <mergeCell ref="K31:L31"/>
    <mergeCell ref="K23:L23"/>
    <mergeCell ref="K24:L24"/>
    <mergeCell ref="K25:L25"/>
    <mergeCell ref="K26:L26"/>
    <mergeCell ref="K27:L27"/>
    <mergeCell ref="K28:L28"/>
    <mergeCell ref="K29:L29"/>
    <mergeCell ref="B1:E1"/>
    <mergeCell ref="H2:J2"/>
    <mergeCell ref="K2:M2"/>
    <mergeCell ref="H3:I3"/>
    <mergeCell ref="K3:L3"/>
    <mergeCell ref="H4:I4"/>
    <mergeCell ref="H5:I5"/>
    <mergeCell ref="K4:L4"/>
    <mergeCell ref="K5:L5"/>
    <mergeCell ref="H6:I6"/>
    <mergeCell ref="K6:L6"/>
    <mergeCell ref="H7:I7"/>
    <mergeCell ref="K7:L7"/>
    <mergeCell ref="K8:L8"/>
    <mergeCell ref="H8:I8"/>
    <mergeCell ref="H9:I9"/>
    <mergeCell ref="H10:I10"/>
    <mergeCell ref="H11:I11"/>
    <mergeCell ref="H12:I12"/>
    <mergeCell ref="H13:I13"/>
    <mergeCell ref="H14:I14"/>
    <mergeCell ref="K9:L9"/>
    <mergeCell ref="K10:L10"/>
    <mergeCell ref="K11:L11"/>
    <mergeCell ref="K12:L12"/>
    <mergeCell ref="K13:L13"/>
    <mergeCell ref="K14:L14"/>
    <mergeCell ref="K15:L15"/>
    <mergeCell ref="H15:I15"/>
    <mergeCell ref="H16:I16"/>
    <mergeCell ref="H17:I17"/>
    <mergeCell ref="H18:I18"/>
    <mergeCell ref="H19:I19"/>
    <mergeCell ref="H20:I20"/>
    <mergeCell ref="H21:I21"/>
    <mergeCell ref="K16:L16"/>
    <mergeCell ref="K17:L17"/>
    <mergeCell ref="K18:L18"/>
    <mergeCell ref="K19:L19"/>
    <mergeCell ref="K20:L20"/>
    <mergeCell ref="K21:L21"/>
    <mergeCell ref="K22:L22"/>
    <mergeCell ref="B30:D30"/>
    <mergeCell ref="H30:I30"/>
    <mergeCell ref="B31:D31"/>
    <mergeCell ref="H31:I31"/>
    <mergeCell ref="B32:D32"/>
    <mergeCell ref="H32:I32"/>
    <mergeCell ref="K32:L32"/>
  </mergeCells>
  <hyperlinks>
    <hyperlink r:id="rId1" ref="F1"/>
    <hyperlink r:id="rId2" ref="L1"/>
    <hyperlink r:id="rId3" ref="H3"/>
    <hyperlink r:id="rId4" ref="M3"/>
    <hyperlink r:id="rId5" ref="M4"/>
    <hyperlink r:id="rId6" ref="M5"/>
    <hyperlink r:id="rId7" ref="M6"/>
    <hyperlink r:id="rId8" ref="M8"/>
    <hyperlink r:id="rId9" ref="M9"/>
    <hyperlink r:id="rId10" ref="M10"/>
    <hyperlink r:id="rId11" ref="M11"/>
    <hyperlink r:id="rId12" ref="M12"/>
    <hyperlink r:id="rId13" ref="M13"/>
    <hyperlink r:id="rId14" ref="M14"/>
    <hyperlink r:id="rId15" ref="O14"/>
    <hyperlink r:id="rId16" ref="R14"/>
    <hyperlink r:id="rId17" ref="M15"/>
    <hyperlink r:id="rId18" ref="O15"/>
    <hyperlink r:id="rId19" ref="R15"/>
    <hyperlink r:id="rId20" ref="M16"/>
    <hyperlink r:id="rId21" ref="O16"/>
    <hyperlink r:id="rId22" ref="R16"/>
    <hyperlink r:id="rId23" ref="M17"/>
    <hyperlink r:id="rId24" ref="O17"/>
    <hyperlink r:id="rId25" ref="R17"/>
    <hyperlink r:id="rId26" ref="O18"/>
    <hyperlink r:id="rId27" ref="R18"/>
    <hyperlink r:id="rId28" ref="M19"/>
    <hyperlink r:id="rId29" ref="O19"/>
    <hyperlink r:id="rId30" ref="R19"/>
    <hyperlink r:id="rId31" ref="K20"/>
    <hyperlink r:id="rId32" ref="M21"/>
    <hyperlink r:id="rId33" ref="M22"/>
    <hyperlink r:id="rId34" ref="K24"/>
    <hyperlink r:id="rId35" ref="M25"/>
    <hyperlink r:id="rId36" ref="K26"/>
    <hyperlink r:id="rId37" ref="K27"/>
    <hyperlink r:id="rId38" ref="A36"/>
    <hyperlink r:id="rId39" ref="A37"/>
    <hyperlink r:id="rId40" ref="A38"/>
    <hyperlink r:id="rId41" ref="A39"/>
    <hyperlink r:id="rId42" ref="A40"/>
    <hyperlink r:id="rId43" ref="A41"/>
    <hyperlink r:id="rId44" ref="A42"/>
  </hyperlinks>
  <drawing r:id="rId4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5" max="5" width="15.5"/>
    <col customWidth="1" min="18" max="18" width="24.63"/>
  </cols>
  <sheetData>
    <row r="1">
      <c r="A1" s="2" t="s">
        <v>147</v>
      </c>
      <c r="E1" s="1" t="s">
        <v>148</v>
      </c>
      <c r="G1" s="1" t="s">
        <v>2</v>
      </c>
      <c r="H1" s="4">
        <v>8.0</v>
      </c>
      <c r="I1" s="1" t="s">
        <v>3</v>
      </c>
      <c r="J1" s="5">
        <f>8+C8+C9</f>
        <v>16</v>
      </c>
      <c r="K1" s="1"/>
      <c r="L1" s="1"/>
      <c r="M1" s="1"/>
      <c r="N1" s="3" t="s">
        <v>149</v>
      </c>
      <c r="P1" s="1"/>
      <c r="Q1" s="1"/>
      <c r="R1" s="1"/>
      <c r="S1" s="1"/>
    </row>
    <row r="2">
      <c r="A2" s="6"/>
      <c r="B2" s="7" t="s">
        <v>5</v>
      </c>
      <c r="C2" s="7" t="s">
        <v>6</v>
      </c>
      <c r="D2" s="7" t="s">
        <v>7</v>
      </c>
      <c r="E2" s="8" t="s">
        <v>8</v>
      </c>
      <c r="F2" s="8" t="s">
        <v>9</v>
      </c>
      <c r="G2" s="8" t="s">
        <v>10</v>
      </c>
      <c r="H2" s="9" t="s">
        <v>11</v>
      </c>
      <c r="I2" s="10"/>
      <c r="J2" s="11"/>
      <c r="K2" s="12" t="s">
        <v>12</v>
      </c>
      <c r="L2" s="10"/>
      <c r="M2" s="11"/>
      <c r="N2" s="13" t="s">
        <v>150</v>
      </c>
      <c r="O2" s="13" t="s">
        <v>151</v>
      </c>
      <c r="P2" s="13" t="s">
        <v>152</v>
      </c>
      <c r="Q2" s="13" t="s">
        <v>153</v>
      </c>
      <c r="R2" s="54" t="s">
        <v>154</v>
      </c>
      <c r="S2" s="54" t="s">
        <v>22</v>
      </c>
    </row>
    <row r="3">
      <c r="A3" s="7" t="s">
        <v>17</v>
      </c>
      <c r="B3" s="14">
        <v>14.0</v>
      </c>
      <c r="C3" s="14">
        <f t="shared" ref="C3:C8" si="1">FLOOR((B3-10)/2,1)</f>
        <v>2</v>
      </c>
      <c r="D3" s="14">
        <f>C3</f>
        <v>2</v>
      </c>
      <c r="E3" s="16">
        <v>17.0</v>
      </c>
      <c r="F3" s="16">
        <f>C4</f>
        <v>-1</v>
      </c>
      <c r="G3" s="16">
        <v>30.0</v>
      </c>
      <c r="H3" s="9" t="s">
        <v>155</v>
      </c>
      <c r="I3" s="11"/>
      <c r="J3" s="18"/>
      <c r="K3" s="12" t="s">
        <v>156</v>
      </c>
      <c r="L3" s="11"/>
      <c r="M3" s="19" t="s">
        <v>21</v>
      </c>
      <c r="N3" s="20">
        <v>0.0</v>
      </c>
      <c r="O3" s="13"/>
      <c r="P3" s="20">
        <v>39.0</v>
      </c>
      <c r="Q3" s="20">
        <v>3.0</v>
      </c>
      <c r="R3" s="54" t="s">
        <v>157</v>
      </c>
      <c r="S3" s="54" t="s">
        <v>158</v>
      </c>
    </row>
    <row r="4">
      <c r="A4" s="7" t="s">
        <v>23</v>
      </c>
      <c r="B4" s="14">
        <v>8.0</v>
      </c>
      <c r="C4" s="14">
        <f t="shared" si="1"/>
        <v>-1</v>
      </c>
      <c r="D4" s="15">
        <f>C4+C9</f>
        <v>2</v>
      </c>
      <c r="E4" s="22" t="s">
        <v>24</v>
      </c>
      <c r="F4" s="22" t="s">
        <v>25</v>
      </c>
      <c r="G4" s="22" t="s">
        <v>26</v>
      </c>
      <c r="H4" s="23" t="s">
        <v>159</v>
      </c>
      <c r="I4" s="24"/>
      <c r="J4" s="18"/>
      <c r="K4" s="25" t="s">
        <v>160</v>
      </c>
      <c r="L4" s="11"/>
      <c r="M4" s="19" t="s">
        <v>21</v>
      </c>
      <c r="N4" s="20">
        <v>1.0</v>
      </c>
      <c r="O4" s="20">
        <v>2.0</v>
      </c>
      <c r="P4" s="55">
        <v>20.0</v>
      </c>
      <c r="Q4" s="56">
        <v>19.0</v>
      </c>
      <c r="R4" s="57">
        <v>5.0</v>
      </c>
      <c r="S4" s="58">
        <v>5.0</v>
      </c>
    </row>
    <row r="5">
      <c r="A5" s="7" t="s">
        <v>31</v>
      </c>
      <c r="B5" s="59">
        <v>16.0</v>
      </c>
      <c r="C5" s="14">
        <f t="shared" si="1"/>
        <v>3</v>
      </c>
      <c r="D5" s="14">
        <f t="shared" ref="D5:D7" si="2">C5</f>
        <v>3</v>
      </c>
      <c r="E5" s="27">
        <v>58.0</v>
      </c>
      <c r="F5" s="27">
        <v>58.0</v>
      </c>
      <c r="G5" s="29"/>
      <c r="H5" s="9" t="s">
        <v>161</v>
      </c>
      <c r="I5" s="11"/>
      <c r="J5" s="18"/>
      <c r="K5" s="25" t="s">
        <v>162</v>
      </c>
      <c r="L5" s="11"/>
      <c r="M5" s="19" t="s">
        <v>21</v>
      </c>
      <c r="N5" s="20">
        <v>2.0</v>
      </c>
      <c r="O5" s="20">
        <v>3.0</v>
      </c>
      <c r="P5" s="60"/>
      <c r="Q5" s="60"/>
      <c r="R5" s="1"/>
      <c r="S5" s="1"/>
    </row>
    <row r="6">
      <c r="A6" s="7" t="s">
        <v>36</v>
      </c>
      <c r="B6" s="14">
        <v>10.0</v>
      </c>
      <c r="C6" s="14">
        <f t="shared" si="1"/>
        <v>0</v>
      </c>
      <c r="D6" s="14">
        <f t="shared" si="2"/>
        <v>0</v>
      </c>
      <c r="E6" s="22" t="s">
        <v>37</v>
      </c>
      <c r="F6" s="28" t="s">
        <v>38</v>
      </c>
      <c r="G6" s="28" t="s">
        <v>39</v>
      </c>
      <c r="H6" s="9" t="s">
        <v>163</v>
      </c>
      <c r="I6" s="11"/>
      <c r="J6" s="18"/>
      <c r="K6" s="25" t="s">
        <v>164</v>
      </c>
      <c r="L6" s="11"/>
      <c r="M6" s="19" t="s">
        <v>21</v>
      </c>
      <c r="N6" s="20">
        <v>3.0</v>
      </c>
      <c r="O6" s="20">
        <v>5.0</v>
      </c>
      <c r="P6" s="60"/>
      <c r="Q6" s="60"/>
      <c r="R6" s="1"/>
      <c r="S6" s="1"/>
    </row>
    <row r="7">
      <c r="A7" s="7" t="s">
        <v>45</v>
      </c>
      <c r="B7" s="14">
        <v>8.0</v>
      </c>
      <c r="C7" s="14">
        <f t="shared" si="1"/>
        <v>-1</v>
      </c>
      <c r="D7" s="14">
        <f t="shared" si="2"/>
        <v>-1</v>
      </c>
      <c r="E7" s="26">
        <v>8.0</v>
      </c>
      <c r="F7" s="28"/>
      <c r="G7" s="28"/>
      <c r="H7" s="17" t="s">
        <v>53</v>
      </c>
      <c r="I7" s="11"/>
      <c r="J7" s="18"/>
      <c r="K7" s="41" t="s">
        <v>165</v>
      </c>
      <c r="L7" s="11"/>
      <c r="M7" s="31" t="s">
        <v>166</v>
      </c>
      <c r="N7" s="20">
        <v>4.0</v>
      </c>
      <c r="O7" s="20">
        <v>6.0</v>
      </c>
      <c r="P7" s="60"/>
      <c r="Q7" s="60"/>
      <c r="R7" s="1"/>
      <c r="S7" s="1"/>
    </row>
    <row r="8">
      <c r="A8" s="7" t="s">
        <v>51</v>
      </c>
      <c r="B8" s="14">
        <v>20.0</v>
      </c>
      <c r="C8" s="14">
        <f t="shared" si="1"/>
        <v>5</v>
      </c>
      <c r="D8" s="15">
        <f>C8+$C$9</f>
        <v>8</v>
      </c>
      <c r="E8" s="32" t="s">
        <v>52</v>
      </c>
      <c r="F8" s="28"/>
      <c r="G8" s="28"/>
      <c r="H8" s="9"/>
      <c r="I8" s="11"/>
      <c r="J8" s="18"/>
      <c r="K8" s="41" t="s">
        <v>167</v>
      </c>
      <c r="L8" s="11"/>
      <c r="M8" s="31" t="s">
        <v>168</v>
      </c>
      <c r="N8" s="20">
        <v>5.0</v>
      </c>
      <c r="O8" s="20">
        <v>7.0</v>
      </c>
      <c r="P8" s="60"/>
      <c r="Q8" s="60"/>
      <c r="R8" s="1"/>
      <c r="S8" s="1"/>
    </row>
    <row r="9">
      <c r="A9" s="32"/>
      <c r="B9" s="8" t="s">
        <v>57</v>
      </c>
      <c r="C9" s="16">
        <f>FLOOR((H1-1)/4,1)+2</f>
        <v>3</v>
      </c>
      <c r="D9" s="32"/>
      <c r="E9" s="16">
        <f>C8+C9</f>
        <v>8</v>
      </c>
      <c r="F9" s="28"/>
      <c r="G9" s="28"/>
      <c r="H9" s="9"/>
      <c r="I9" s="11"/>
      <c r="J9" s="18"/>
      <c r="K9" s="12" t="s">
        <v>169</v>
      </c>
      <c r="L9" s="11"/>
      <c r="M9" s="31" t="s">
        <v>104</v>
      </c>
      <c r="N9" s="20">
        <v>6.0</v>
      </c>
      <c r="O9" s="20">
        <v>9.0</v>
      </c>
      <c r="P9" s="60"/>
      <c r="Q9" s="60"/>
      <c r="R9" s="1"/>
      <c r="S9" s="1"/>
    </row>
    <row r="10">
      <c r="A10" s="33" t="s">
        <v>61</v>
      </c>
      <c r="B10" s="7" t="s">
        <v>62</v>
      </c>
      <c r="C10" s="14">
        <f>C4+FLOOR($C$9*D10,1)</f>
        <v>2</v>
      </c>
      <c r="D10" s="15">
        <v>1.0</v>
      </c>
      <c r="E10" s="34" t="s">
        <v>63</v>
      </c>
      <c r="F10" s="34" t="s">
        <v>170</v>
      </c>
      <c r="G10" s="34" t="s">
        <v>65</v>
      </c>
      <c r="H10" s="9"/>
      <c r="I10" s="11"/>
      <c r="J10" s="18"/>
      <c r="K10" s="12" t="s">
        <v>171</v>
      </c>
      <c r="L10" s="11"/>
      <c r="M10" s="31" t="s">
        <v>47</v>
      </c>
      <c r="N10" s="20">
        <v>7.0</v>
      </c>
      <c r="O10" s="20">
        <v>10.0</v>
      </c>
      <c r="P10" s="60"/>
      <c r="Q10" s="60"/>
      <c r="R10" s="1"/>
      <c r="S10" s="1"/>
    </row>
    <row r="11">
      <c r="A11" s="33" t="s">
        <v>68</v>
      </c>
      <c r="B11" s="7" t="s">
        <v>69</v>
      </c>
      <c r="C11" s="14">
        <f>C6+FLOOR($C$9*D11,1)</f>
        <v>1</v>
      </c>
      <c r="D11" s="14">
        <v>0.5</v>
      </c>
      <c r="E11" s="13" t="s">
        <v>172</v>
      </c>
      <c r="F11" s="61" t="s">
        <v>71</v>
      </c>
      <c r="G11" s="35"/>
      <c r="H11" s="9"/>
      <c r="I11" s="11"/>
      <c r="J11" s="18"/>
      <c r="K11" s="12" t="s">
        <v>173</v>
      </c>
      <c r="L11" s="11"/>
      <c r="M11" s="31" t="s">
        <v>47</v>
      </c>
      <c r="N11" s="20">
        <v>8.0</v>
      </c>
      <c r="O11" s="20">
        <v>11.0</v>
      </c>
      <c r="P11" s="60"/>
      <c r="Q11" s="60"/>
      <c r="R11" s="1"/>
      <c r="S11" s="1"/>
    </row>
    <row r="12">
      <c r="A12" s="33" t="s">
        <v>73</v>
      </c>
      <c r="B12" s="7" t="s">
        <v>74</v>
      </c>
      <c r="C12" s="14">
        <f>C3+FLOOR($C$9*D12,1)</f>
        <v>3</v>
      </c>
      <c r="D12" s="14">
        <v>0.5</v>
      </c>
      <c r="E12" s="35"/>
      <c r="F12" s="34"/>
      <c r="G12" s="34"/>
      <c r="H12" s="9"/>
      <c r="I12" s="11"/>
      <c r="J12" s="18"/>
      <c r="K12" s="12" t="s">
        <v>174</v>
      </c>
      <c r="L12" s="11"/>
      <c r="M12" s="31" t="s">
        <v>47</v>
      </c>
      <c r="N12" s="20">
        <v>9.0</v>
      </c>
      <c r="O12" s="20">
        <v>13.0</v>
      </c>
      <c r="P12" s="62"/>
      <c r="Q12" s="62"/>
      <c r="R12" s="1"/>
      <c r="S12" s="1"/>
    </row>
    <row r="13">
      <c r="A13" s="33" t="s">
        <v>77</v>
      </c>
      <c r="B13" s="7" t="s">
        <v>78</v>
      </c>
      <c r="C13" s="14">
        <f>C7+FLOOR($C$9*D13,1)</f>
        <v>0</v>
      </c>
      <c r="D13" s="14">
        <v>0.5</v>
      </c>
      <c r="E13" s="13"/>
      <c r="F13" s="34"/>
      <c r="G13" s="34"/>
      <c r="H13" s="9"/>
      <c r="I13" s="11"/>
      <c r="J13" s="18"/>
      <c r="K13" s="12" t="s">
        <v>175</v>
      </c>
      <c r="L13" s="11"/>
      <c r="M13" s="31" t="s">
        <v>47</v>
      </c>
      <c r="N13" s="7" t="s">
        <v>2</v>
      </c>
      <c r="O13" s="7" t="s">
        <v>80</v>
      </c>
      <c r="P13" s="7" t="s">
        <v>81</v>
      </c>
      <c r="Q13" s="7" t="s">
        <v>2</v>
      </c>
      <c r="R13" s="7" t="s">
        <v>80</v>
      </c>
      <c r="S13" s="7" t="s">
        <v>81</v>
      </c>
    </row>
    <row r="14">
      <c r="A14" s="33" t="s">
        <v>77</v>
      </c>
      <c r="B14" s="7" t="s">
        <v>82</v>
      </c>
      <c r="C14" s="14">
        <f t="shared" ref="C14:C15" si="3">C7+FLOOR($C$9*D14,1)</f>
        <v>2</v>
      </c>
      <c r="D14" s="15">
        <v>1.0</v>
      </c>
      <c r="E14" s="13"/>
      <c r="F14" s="34"/>
      <c r="G14" s="13"/>
      <c r="H14" s="9"/>
      <c r="I14" s="11"/>
      <c r="J14" s="18"/>
      <c r="K14" s="12" t="s">
        <v>176</v>
      </c>
      <c r="L14" s="11"/>
      <c r="M14" s="31" t="s">
        <v>47</v>
      </c>
      <c r="N14" s="14">
        <v>0.0</v>
      </c>
      <c r="O14" s="37" t="s">
        <v>177</v>
      </c>
      <c r="P14" s="7" t="s">
        <v>178</v>
      </c>
      <c r="Q14" s="14">
        <v>1.0</v>
      </c>
      <c r="R14" s="37" t="s">
        <v>179</v>
      </c>
      <c r="S14" s="7" t="s">
        <v>178</v>
      </c>
    </row>
    <row r="15">
      <c r="A15" s="33" t="s">
        <v>87</v>
      </c>
      <c r="B15" s="7" t="s">
        <v>88</v>
      </c>
      <c r="C15" s="14">
        <f t="shared" si="3"/>
        <v>11</v>
      </c>
      <c r="D15" s="63">
        <v>2.0</v>
      </c>
      <c r="E15" s="13"/>
      <c r="F15" s="34"/>
      <c r="G15" s="34"/>
      <c r="H15" s="9"/>
      <c r="I15" s="11"/>
      <c r="J15" s="18"/>
      <c r="K15" s="41" t="s">
        <v>180</v>
      </c>
      <c r="L15" s="11"/>
      <c r="M15" s="31" t="s">
        <v>181</v>
      </c>
      <c r="N15" s="14">
        <v>0.0</v>
      </c>
      <c r="O15" s="37" t="s">
        <v>182</v>
      </c>
      <c r="P15" s="7" t="s">
        <v>178</v>
      </c>
      <c r="Q15" s="14">
        <v>1.0</v>
      </c>
      <c r="R15" s="37" t="s">
        <v>86</v>
      </c>
      <c r="S15" s="7" t="s">
        <v>178</v>
      </c>
    </row>
    <row r="16">
      <c r="A16" s="33" t="s">
        <v>87</v>
      </c>
      <c r="B16" s="7" t="s">
        <v>92</v>
      </c>
      <c r="C16" s="14">
        <f>C8+FLOOR($C$9*D16,1)</f>
        <v>8</v>
      </c>
      <c r="D16" s="15">
        <v>1.0</v>
      </c>
      <c r="E16" s="13"/>
      <c r="F16" s="13"/>
      <c r="G16" s="13"/>
      <c r="H16" s="9"/>
      <c r="I16" s="11"/>
      <c r="J16" s="18"/>
      <c r="K16" s="41" t="s">
        <v>183</v>
      </c>
      <c r="L16" s="11"/>
      <c r="M16" s="31" t="s">
        <v>181</v>
      </c>
      <c r="N16" s="14">
        <v>0.0</v>
      </c>
      <c r="O16" s="64" t="s">
        <v>184</v>
      </c>
      <c r="P16" s="7" t="s">
        <v>178</v>
      </c>
      <c r="Q16" s="14">
        <v>1.0</v>
      </c>
      <c r="R16" s="37" t="s">
        <v>185</v>
      </c>
      <c r="S16" s="7" t="s">
        <v>47</v>
      </c>
    </row>
    <row r="17">
      <c r="A17" s="33" t="s">
        <v>68</v>
      </c>
      <c r="B17" s="7" t="s">
        <v>97</v>
      </c>
      <c r="C17" s="14">
        <f>C6+FLOOR($C$9*D17,1)</f>
        <v>1</v>
      </c>
      <c r="D17" s="14">
        <v>0.5</v>
      </c>
      <c r="E17" s="13"/>
      <c r="F17" s="13"/>
      <c r="G17" s="13"/>
      <c r="H17" s="9"/>
      <c r="I17" s="11"/>
      <c r="J17" s="18"/>
      <c r="K17" s="41" t="s">
        <v>186</v>
      </c>
      <c r="L17" s="11"/>
      <c r="M17" s="31" t="s">
        <v>181</v>
      </c>
      <c r="N17" s="14">
        <v>0.0</v>
      </c>
      <c r="O17" s="37" t="s">
        <v>187</v>
      </c>
      <c r="P17" s="7" t="s">
        <v>178</v>
      </c>
      <c r="Q17" s="14">
        <v>1.0</v>
      </c>
      <c r="R17" s="37" t="s">
        <v>188</v>
      </c>
      <c r="S17" s="7" t="s">
        <v>47</v>
      </c>
    </row>
    <row r="18">
      <c r="A18" s="33" t="s">
        <v>61</v>
      </c>
      <c r="B18" s="7" t="s">
        <v>102</v>
      </c>
      <c r="C18" s="14">
        <f>C4+FLOOR($C$9*D18,1)</f>
        <v>0</v>
      </c>
      <c r="D18" s="14">
        <v>0.5</v>
      </c>
      <c r="E18" s="13"/>
      <c r="F18" s="13"/>
      <c r="G18" s="13"/>
      <c r="H18" s="9"/>
      <c r="I18" s="11"/>
      <c r="J18" s="18"/>
      <c r="K18" s="46" t="s">
        <v>189</v>
      </c>
      <c r="L18" s="11"/>
      <c r="M18" s="31" t="s">
        <v>181</v>
      </c>
      <c r="N18" s="14">
        <v>0.0</v>
      </c>
      <c r="O18" s="37" t="s">
        <v>190</v>
      </c>
      <c r="P18" s="7" t="s">
        <v>178</v>
      </c>
      <c r="Q18" s="14">
        <v>1.0</v>
      </c>
      <c r="R18" s="64" t="s">
        <v>191</v>
      </c>
      <c r="S18" s="7" t="s">
        <v>47</v>
      </c>
    </row>
    <row r="19">
      <c r="A19" s="33" t="s">
        <v>68</v>
      </c>
      <c r="B19" s="7" t="s">
        <v>107</v>
      </c>
      <c r="C19" s="14">
        <f t="shared" ref="C19:C21" si="4">C6+FLOOR($C$9*D19,1)</f>
        <v>1</v>
      </c>
      <c r="D19" s="14">
        <v>0.5</v>
      </c>
      <c r="E19" s="13"/>
      <c r="F19" s="13"/>
      <c r="G19" s="13"/>
      <c r="H19" s="9"/>
      <c r="I19" s="11"/>
      <c r="J19" s="18"/>
      <c r="K19" s="12"/>
      <c r="L19" s="11"/>
      <c r="M19" s="31" t="s">
        <v>181</v>
      </c>
      <c r="N19" s="14">
        <v>0.0</v>
      </c>
      <c r="O19" s="37" t="s">
        <v>192</v>
      </c>
      <c r="P19" s="7" t="s">
        <v>47</v>
      </c>
      <c r="Q19" s="14">
        <v>2.0</v>
      </c>
      <c r="R19" s="65" t="s">
        <v>193</v>
      </c>
      <c r="S19" s="7" t="s">
        <v>47</v>
      </c>
    </row>
    <row r="20">
      <c r="A20" s="33" t="s">
        <v>77</v>
      </c>
      <c r="B20" s="7" t="s">
        <v>111</v>
      </c>
      <c r="C20" s="14">
        <f t="shared" si="4"/>
        <v>0</v>
      </c>
      <c r="D20" s="14">
        <v>0.5</v>
      </c>
      <c r="E20" s="13"/>
      <c r="F20" s="13"/>
      <c r="G20" s="13"/>
      <c r="H20" s="9"/>
      <c r="I20" s="11"/>
      <c r="J20" s="18"/>
      <c r="K20" s="12" t="s">
        <v>194</v>
      </c>
      <c r="L20" s="11"/>
      <c r="M20" s="31" t="s">
        <v>195</v>
      </c>
      <c r="N20" s="14">
        <v>0.0</v>
      </c>
      <c r="O20" s="37" t="s">
        <v>100</v>
      </c>
      <c r="P20" s="7" t="s">
        <v>47</v>
      </c>
      <c r="Q20" s="14">
        <v>2.0</v>
      </c>
      <c r="R20" s="65" t="s">
        <v>110</v>
      </c>
      <c r="S20" s="7" t="s">
        <v>47</v>
      </c>
    </row>
    <row r="21">
      <c r="A21" s="33" t="s">
        <v>87</v>
      </c>
      <c r="B21" s="7" t="s">
        <v>114</v>
      </c>
      <c r="C21" s="14">
        <f t="shared" si="4"/>
        <v>11</v>
      </c>
      <c r="D21" s="63">
        <v>2.0</v>
      </c>
      <c r="E21" s="13"/>
      <c r="F21" s="13"/>
      <c r="G21" s="13"/>
      <c r="H21" s="9"/>
      <c r="I21" s="11"/>
      <c r="J21" s="18"/>
      <c r="K21" s="12" t="s">
        <v>196</v>
      </c>
      <c r="L21" s="11"/>
      <c r="M21" s="31" t="s">
        <v>195</v>
      </c>
      <c r="N21" s="14">
        <v>0.0</v>
      </c>
      <c r="O21" s="37" t="s">
        <v>105</v>
      </c>
      <c r="P21" s="7" t="s">
        <v>47</v>
      </c>
      <c r="Q21" s="14">
        <v>2.0</v>
      </c>
      <c r="R21" s="37" t="s">
        <v>197</v>
      </c>
      <c r="S21" s="7" t="s">
        <v>47</v>
      </c>
    </row>
    <row r="22">
      <c r="A22" s="33" t="s">
        <v>68</v>
      </c>
      <c r="B22" s="7" t="s">
        <v>116</v>
      </c>
      <c r="C22" s="14">
        <f>C7+FLOOR($C$9*D22,1)</f>
        <v>0</v>
      </c>
      <c r="D22" s="14">
        <v>0.5</v>
      </c>
      <c r="E22" s="13"/>
      <c r="F22" s="13"/>
      <c r="G22" s="13"/>
      <c r="H22" s="9"/>
      <c r="I22" s="11"/>
      <c r="J22" s="18"/>
      <c r="K22" s="12" t="s">
        <v>198</v>
      </c>
      <c r="L22" s="11"/>
      <c r="M22" s="31" t="s">
        <v>195</v>
      </c>
      <c r="N22" s="14">
        <v>0.0</v>
      </c>
      <c r="O22" s="37" t="s">
        <v>199</v>
      </c>
      <c r="P22" s="7" t="s">
        <v>95</v>
      </c>
      <c r="Q22" s="14">
        <v>3.0</v>
      </c>
      <c r="R22" s="65" t="s">
        <v>200</v>
      </c>
      <c r="S22" s="7" t="s">
        <v>47</v>
      </c>
    </row>
    <row r="23">
      <c r="A23" s="33" t="s">
        <v>77</v>
      </c>
      <c r="B23" s="7" t="s">
        <v>118</v>
      </c>
      <c r="C23" s="14">
        <f>C7+FLOOR($C$9*D23,1)</f>
        <v>0</v>
      </c>
      <c r="D23" s="14">
        <v>0.5</v>
      </c>
      <c r="E23" s="13"/>
      <c r="F23" s="13"/>
      <c r="G23" s="13"/>
      <c r="H23" s="9"/>
      <c r="I23" s="11"/>
      <c r="J23" s="18"/>
      <c r="K23" s="46" t="s">
        <v>201</v>
      </c>
      <c r="L23" s="11"/>
      <c r="M23" s="39" t="s">
        <v>129</v>
      </c>
      <c r="N23" s="14">
        <v>0.0</v>
      </c>
      <c r="O23" s="37" t="s">
        <v>202</v>
      </c>
      <c r="P23" s="7" t="s">
        <v>95</v>
      </c>
      <c r="Q23" s="14">
        <v>3.0</v>
      </c>
      <c r="R23" s="37" t="s">
        <v>203</v>
      </c>
      <c r="S23" s="7" t="s">
        <v>47</v>
      </c>
    </row>
    <row r="24">
      <c r="A24" s="33" t="s">
        <v>68</v>
      </c>
      <c r="B24" s="7" t="s">
        <v>119</v>
      </c>
      <c r="C24" s="14">
        <f>C6+FLOOR($C$9*D24,1)</f>
        <v>1</v>
      </c>
      <c r="D24" s="14">
        <v>0.5</v>
      </c>
      <c r="E24" s="42" t="s">
        <v>120</v>
      </c>
      <c r="F24" s="10"/>
      <c r="G24" s="11"/>
      <c r="H24" s="9"/>
      <c r="I24" s="11"/>
      <c r="J24" s="18"/>
      <c r="K24" s="12"/>
      <c r="L24" s="11"/>
      <c r="M24" s="31"/>
      <c r="N24" s="66">
        <v>0.0</v>
      </c>
      <c r="O24" s="40" t="s">
        <v>204</v>
      </c>
      <c r="P24" s="7" t="s">
        <v>95</v>
      </c>
      <c r="Q24" s="14">
        <v>3.0</v>
      </c>
      <c r="R24" s="65" t="s">
        <v>205</v>
      </c>
      <c r="S24" s="7" t="s">
        <v>47</v>
      </c>
    </row>
    <row r="25">
      <c r="A25" s="33" t="s">
        <v>61</v>
      </c>
      <c r="B25" s="7" t="s">
        <v>122</v>
      </c>
      <c r="C25" s="14">
        <f>C4+FLOOR($C$9*D25,1)</f>
        <v>0</v>
      </c>
      <c r="D25" s="14">
        <v>0.5</v>
      </c>
      <c r="E25" s="43"/>
      <c r="F25" s="43" t="s">
        <v>123</v>
      </c>
      <c r="G25" s="43" t="s">
        <v>124</v>
      </c>
      <c r="H25" s="9"/>
      <c r="I25" s="11"/>
      <c r="J25" s="18"/>
      <c r="K25" s="12"/>
      <c r="L25" s="11"/>
      <c r="M25" s="31"/>
      <c r="N25" s="66">
        <v>0.0</v>
      </c>
      <c r="O25" s="40" t="s">
        <v>206</v>
      </c>
      <c r="P25" s="7" t="s">
        <v>95</v>
      </c>
      <c r="Q25" s="14">
        <v>4.0</v>
      </c>
      <c r="R25" s="67" t="s">
        <v>207</v>
      </c>
      <c r="S25" s="7" t="s">
        <v>47</v>
      </c>
    </row>
    <row r="26">
      <c r="A26" s="33" t="s">
        <v>87</v>
      </c>
      <c r="B26" s="7" t="s">
        <v>126</v>
      </c>
      <c r="C26" s="14">
        <f>C8+FLOOR($C$9*D26,1)</f>
        <v>8</v>
      </c>
      <c r="D26" s="15">
        <v>1.0</v>
      </c>
      <c r="E26" s="43" t="s">
        <v>127</v>
      </c>
      <c r="F26" s="43"/>
      <c r="G26" s="43"/>
      <c r="H26" s="9"/>
      <c r="I26" s="11"/>
      <c r="J26" s="18"/>
      <c r="K26" s="12"/>
      <c r="L26" s="11"/>
      <c r="M26" s="31"/>
      <c r="N26" s="7"/>
      <c r="O26" s="7"/>
      <c r="P26" s="7"/>
      <c r="Q26" s="66">
        <v>4.0</v>
      </c>
      <c r="R26" s="40" t="s">
        <v>208</v>
      </c>
      <c r="S26" s="7" t="s">
        <v>47</v>
      </c>
    </row>
    <row r="27">
      <c r="A27" s="33" t="s">
        <v>77</v>
      </c>
      <c r="B27" s="7" t="s">
        <v>130</v>
      </c>
      <c r="C27" s="14">
        <f>C7+FLOOR($C$9*D27,1)</f>
        <v>0</v>
      </c>
      <c r="D27" s="14">
        <v>0.5</v>
      </c>
      <c r="E27" s="43" t="s">
        <v>131</v>
      </c>
      <c r="F27" s="43"/>
      <c r="G27" s="43"/>
      <c r="H27" s="9"/>
      <c r="I27" s="11"/>
      <c r="J27" s="18"/>
      <c r="K27" s="12"/>
      <c r="L27" s="11"/>
      <c r="M27" s="31"/>
      <c r="N27" s="7"/>
      <c r="O27" s="7"/>
      <c r="P27" s="7"/>
      <c r="Q27" s="7"/>
      <c r="R27" s="7"/>
      <c r="S27" s="7"/>
    </row>
    <row r="28">
      <c r="A28" s="33"/>
      <c r="B28" s="7"/>
      <c r="C28" s="7"/>
      <c r="D28" s="7"/>
      <c r="E28" s="43" t="s">
        <v>133</v>
      </c>
      <c r="F28" s="47">
        <v>120.0</v>
      </c>
      <c r="G28" s="43"/>
      <c r="H28" s="9"/>
      <c r="I28" s="11"/>
      <c r="J28" s="18"/>
      <c r="K28" s="12"/>
      <c r="L28" s="11"/>
      <c r="M28" s="31"/>
      <c r="N28" s="7"/>
      <c r="O28" s="7"/>
      <c r="P28" s="7"/>
      <c r="Q28" s="7"/>
      <c r="R28" s="7"/>
      <c r="S28" s="7"/>
    </row>
    <row r="29">
      <c r="A29" s="33"/>
      <c r="B29" s="7" t="s">
        <v>134</v>
      </c>
      <c r="C29" s="14">
        <f>10+C13</f>
        <v>10</v>
      </c>
      <c r="D29" s="7"/>
      <c r="E29" s="43" t="s">
        <v>135</v>
      </c>
      <c r="F29" s="43"/>
      <c r="G29" s="43"/>
      <c r="H29" s="9"/>
      <c r="I29" s="11"/>
      <c r="J29" s="18"/>
      <c r="K29" s="12"/>
      <c r="L29" s="11"/>
      <c r="M29" s="31"/>
      <c r="N29" s="7"/>
      <c r="O29" s="7"/>
      <c r="P29" s="7"/>
      <c r="Q29" s="7"/>
      <c r="R29" s="7"/>
      <c r="S29" s="7"/>
    </row>
    <row r="30">
      <c r="A30" s="48"/>
      <c r="B30" s="49" t="s">
        <v>136</v>
      </c>
      <c r="C30" s="10"/>
      <c r="D30" s="11"/>
      <c r="E30" s="13" t="s">
        <v>53</v>
      </c>
      <c r="F30" s="1"/>
      <c r="G30" s="1"/>
      <c r="H30" s="9"/>
      <c r="I30" s="11"/>
      <c r="J30" s="18"/>
      <c r="K30" s="12"/>
      <c r="L30" s="11"/>
      <c r="M30" s="31"/>
      <c r="N30" s="7"/>
      <c r="O30" s="7"/>
      <c r="P30" s="7"/>
      <c r="Q30" s="7"/>
      <c r="R30" s="7"/>
      <c r="S30" s="7"/>
    </row>
    <row r="31">
      <c r="A31" s="48"/>
      <c r="B31" s="49" t="s">
        <v>137</v>
      </c>
      <c r="C31" s="10"/>
      <c r="D31" s="11"/>
      <c r="E31" s="13" t="s">
        <v>209</v>
      </c>
      <c r="F31" s="1"/>
      <c r="G31" s="1"/>
      <c r="H31" s="9"/>
      <c r="I31" s="11"/>
      <c r="J31" s="18"/>
      <c r="K31" s="12"/>
      <c r="L31" s="11"/>
      <c r="M31" s="31"/>
      <c r="N31" s="7"/>
      <c r="O31" s="7"/>
      <c r="P31" s="7"/>
      <c r="Q31" s="7"/>
      <c r="R31" s="7"/>
      <c r="S31" s="7"/>
    </row>
    <row r="32">
      <c r="A32" s="48"/>
      <c r="B32" s="49" t="s">
        <v>210</v>
      </c>
      <c r="C32" s="10"/>
      <c r="D32" s="11"/>
      <c r="E32" s="13" t="s">
        <v>211</v>
      </c>
      <c r="F32" s="1"/>
      <c r="G32" s="1"/>
      <c r="H32" s="9"/>
      <c r="I32" s="11"/>
      <c r="J32" s="18"/>
      <c r="K32" s="12"/>
      <c r="L32" s="11"/>
      <c r="M32" s="31"/>
      <c r="N32" s="7"/>
      <c r="O32" s="7"/>
      <c r="P32" s="7"/>
      <c r="Q32" s="7"/>
      <c r="R32" s="7"/>
      <c r="S32" s="7"/>
    </row>
    <row r="33">
      <c r="A33" s="1"/>
      <c r="B33" s="1"/>
      <c r="C33" s="1"/>
      <c r="D33" s="1"/>
      <c r="E33" s="13" t="s">
        <v>212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8">
      <c r="A38" s="51" t="s">
        <v>53</v>
      </c>
      <c r="B38" s="50">
        <v>600.0</v>
      </c>
    </row>
    <row r="39">
      <c r="A39" s="52" t="s">
        <v>213</v>
      </c>
      <c r="B39" s="50">
        <v>600.0</v>
      </c>
    </row>
    <row r="40">
      <c r="A40" s="52" t="s">
        <v>214</v>
      </c>
      <c r="B40" s="50">
        <v>600.0</v>
      </c>
    </row>
  </sheetData>
  <mergeCells count="71">
    <mergeCell ref="H25:I25"/>
    <mergeCell ref="H26:I26"/>
    <mergeCell ref="H27:I27"/>
    <mergeCell ref="H28:I28"/>
    <mergeCell ref="H29:I29"/>
    <mergeCell ref="H19:I19"/>
    <mergeCell ref="H20:I20"/>
    <mergeCell ref="H21:I21"/>
    <mergeCell ref="H22:I22"/>
    <mergeCell ref="H23:I23"/>
    <mergeCell ref="E24:G24"/>
    <mergeCell ref="H24:I24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H30:I30"/>
    <mergeCell ref="K30:L30"/>
    <mergeCell ref="A1:D1"/>
    <mergeCell ref="E1:F1"/>
    <mergeCell ref="N1:O1"/>
    <mergeCell ref="H2:J2"/>
    <mergeCell ref="K2:M2"/>
    <mergeCell ref="H3:I3"/>
    <mergeCell ref="H4:I4"/>
    <mergeCell ref="K8:L8"/>
    <mergeCell ref="K9:L9"/>
    <mergeCell ref="K3:L3"/>
    <mergeCell ref="K4:L4"/>
    <mergeCell ref="P4:P12"/>
    <mergeCell ref="Q4:Q12"/>
    <mergeCell ref="K5:L5"/>
    <mergeCell ref="K6:L6"/>
    <mergeCell ref="K7:L7"/>
    <mergeCell ref="K12:L12"/>
    <mergeCell ref="H5:I5"/>
    <mergeCell ref="H6:I6"/>
    <mergeCell ref="H7:I7"/>
    <mergeCell ref="H8:I8"/>
    <mergeCell ref="H9:I9"/>
    <mergeCell ref="H10:I10"/>
    <mergeCell ref="H11:I11"/>
    <mergeCell ref="K10:L10"/>
    <mergeCell ref="K11:L11"/>
    <mergeCell ref="K13:L13"/>
    <mergeCell ref="K14:L14"/>
    <mergeCell ref="K15:L15"/>
    <mergeCell ref="K16:L16"/>
    <mergeCell ref="K17:L17"/>
    <mergeCell ref="H12:I12"/>
    <mergeCell ref="H13:I13"/>
    <mergeCell ref="H14:I14"/>
    <mergeCell ref="H15:I15"/>
    <mergeCell ref="H16:I16"/>
    <mergeCell ref="H17:I17"/>
    <mergeCell ref="H18:I18"/>
    <mergeCell ref="B30:D30"/>
    <mergeCell ref="B31:D31"/>
    <mergeCell ref="H31:I31"/>
    <mergeCell ref="K31:L31"/>
    <mergeCell ref="B32:D32"/>
    <mergeCell ref="H32:I32"/>
    <mergeCell ref="K32:L32"/>
  </mergeCells>
  <hyperlinks>
    <hyperlink r:id="rId1" ref="N1"/>
    <hyperlink r:id="rId2" ref="M3"/>
    <hyperlink r:id="rId3" ref="M4"/>
    <hyperlink r:id="rId4" ref="M5"/>
    <hyperlink r:id="rId5" ref="M6"/>
    <hyperlink r:id="rId6" ref="H7"/>
    <hyperlink r:id="rId7" ref="K7"/>
    <hyperlink r:id="rId8" ref="K8"/>
    <hyperlink r:id="rId9" ref="O14"/>
    <hyperlink r:id="rId10" ref="R14"/>
    <hyperlink r:id="rId11" ref="K15"/>
    <hyperlink r:id="rId12" ref="O15"/>
    <hyperlink r:id="rId13" ref="R15"/>
    <hyperlink r:id="rId14" ref="K16"/>
    <hyperlink r:id="rId15" ref="O16"/>
    <hyperlink r:id="rId16" ref="R16"/>
    <hyperlink r:id="rId17" ref="K17"/>
    <hyperlink r:id="rId18" ref="O17"/>
    <hyperlink r:id="rId19" ref="R17"/>
    <hyperlink r:id="rId20" ref="K18"/>
    <hyperlink r:id="rId21" ref="O18"/>
    <hyperlink r:id="rId22" ref="R18"/>
    <hyperlink r:id="rId23" ref="O19"/>
    <hyperlink r:id="rId24" ref="R19"/>
    <hyperlink r:id="rId25" ref="O20"/>
    <hyperlink r:id="rId26" ref="R20"/>
    <hyperlink r:id="rId27" ref="O21"/>
    <hyperlink r:id="rId28" ref="R21"/>
    <hyperlink r:id="rId29" ref="O22"/>
    <hyperlink r:id="rId30" ref="R22"/>
    <hyperlink r:id="rId31" ref="K23"/>
    <hyperlink r:id="rId32" ref="O23"/>
    <hyperlink r:id="rId33" ref="R23"/>
    <hyperlink r:id="rId34" ref="O24"/>
    <hyperlink r:id="rId35" ref="R24"/>
    <hyperlink r:id="rId36" ref="O25"/>
    <hyperlink r:id="rId37" ref="R25"/>
    <hyperlink r:id="rId38" ref="R26"/>
    <hyperlink r:id="rId39" ref="A38"/>
    <hyperlink r:id="rId40" ref="A39"/>
    <hyperlink r:id="rId41" ref="A40"/>
  </hyperlinks>
  <drawing r:id="rId4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215</v>
      </c>
      <c r="F1" s="3" t="s">
        <v>216</v>
      </c>
      <c r="G1" s="1" t="s">
        <v>2</v>
      </c>
      <c r="H1" s="5">
        <v>6.0</v>
      </c>
      <c r="I1" s="1" t="s">
        <v>3</v>
      </c>
      <c r="J1" s="5">
        <f>8+C7+C9</f>
        <v>15</v>
      </c>
      <c r="K1" s="1"/>
      <c r="L1" s="3" t="s">
        <v>217</v>
      </c>
      <c r="M1" s="1"/>
      <c r="N1" s="1"/>
      <c r="O1" s="1"/>
      <c r="P1" s="1"/>
      <c r="Q1" s="1"/>
      <c r="R1" s="1"/>
      <c r="S1" s="1"/>
    </row>
    <row r="2">
      <c r="A2" s="6"/>
      <c r="B2" s="7" t="s">
        <v>5</v>
      </c>
      <c r="C2" s="7" t="s">
        <v>6</v>
      </c>
      <c r="D2" s="7" t="s">
        <v>7</v>
      </c>
      <c r="E2" s="8" t="s">
        <v>8</v>
      </c>
      <c r="F2" s="8" t="s">
        <v>9</v>
      </c>
      <c r="G2" s="8" t="s">
        <v>10</v>
      </c>
      <c r="H2" s="9" t="s">
        <v>11</v>
      </c>
      <c r="I2" s="10"/>
      <c r="J2" s="11"/>
      <c r="K2" s="12" t="s">
        <v>12</v>
      </c>
      <c r="L2" s="10"/>
      <c r="M2" s="11"/>
      <c r="N2" s="13" t="s">
        <v>150</v>
      </c>
      <c r="O2" s="13" t="s">
        <v>151</v>
      </c>
      <c r="P2" s="13" t="s">
        <v>152</v>
      </c>
      <c r="Q2" s="13" t="s">
        <v>153</v>
      </c>
      <c r="R2" s="54" t="s">
        <v>218</v>
      </c>
      <c r="S2" s="54"/>
    </row>
    <row r="3">
      <c r="A3" s="7" t="s">
        <v>17</v>
      </c>
      <c r="B3" s="14">
        <v>12.0</v>
      </c>
      <c r="C3" s="14">
        <f t="shared" ref="C3:C8" si="1">FLOOR((B3-10)/2,1)</f>
        <v>1</v>
      </c>
      <c r="D3" s="14">
        <f t="shared" ref="D3:D6" si="2">C3</f>
        <v>1</v>
      </c>
      <c r="E3" s="16">
        <f>C5+12</f>
        <v>15</v>
      </c>
      <c r="F3" s="16">
        <f>C4</f>
        <v>-1</v>
      </c>
      <c r="G3" s="16">
        <v>30.0</v>
      </c>
      <c r="H3" s="9" t="s">
        <v>219</v>
      </c>
      <c r="I3" s="11"/>
      <c r="J3" s="18"/>
      <c r="K3" s="12" t="s">
        <v>220</v>
      </c>
      <c r="L3" s="11"/>
      <c r="M3" s="19" t="s">
        <v>21</v>
      </c>
      <c r="N3" s="20">
        <v>0.0</v>
      </c>
      <c r="O3" s="13"/>
      <c r="P3" s="20">
        <v>32.0</v>
      </c>
      <c r="Q3" s="20">
        <v>4.0</v>
      </c>
      <c r="R3" s="54" t="s">
        <v>157</v>
      </c>
      <c r="S3" s="54" t="s">
        <v>158</v>
      </c>
    </row>
    <row r="4">
      <c r="A4" s="7" t="s">
        <v>23</v>
      </c>
      <c r="B4" s="14">
        <v>8.0</v>
      </c>
      <c r="C4" s="14">
        <f t="shared" si="1"/>
        <v>-1</v>
      </c>
      <c r="D4" s="14">
        <f t="shared" si="2"/>
        <v>-1</v>
      </c>
      <c r="E4" s="22" t="s">
        <v>24</v>
      </c>
      <c r="F4" s="22" t="s">
        <v>25</v>
      </c>
      <c r="G4" s="22" t="s">
        <v>26</v>
      </c>
      <c r="H4" s="23" t="s">
        <v>221</v>
      </c>
      <c r="I4" s="24"/>
      <c r="J4" s="18"/>
      <c r="K4" s="25" t="s">
        <v>222</v>
      </c>
      <c r="L4" s="11"/>
      <c r="M4" s="19" t="s">
        <v>21</v>
      </c>
      <c r="N4" s="20">
        <v>1.0</v>
      </c>
      <c r="O4" s="20">
        <v>2.0</v>
      </c>
      <c r="P4" s="56">
        <v>9.0</v>
      </c>
      <c r="Q4" s="56">
        <v>10.0</v>
      </c>
      <c r="R4" s="57">
        <v>3.0</v>
      </c>
      <c r="S4" s="57">
        <v>3.0</v>
      </c>
    </row>
    <row r="5">
      <c r="A5" s="7" t="s">
        <v>31</v>
      </c>
      <c r="B5" s="14">
        <v>16.0</v>
      </c>
      <c r="C5" s="14">
        <f t="shared" si="1"/>
        <v>3</v>
      </c>
      <c r="D5" s="14">
        <f t="shared" si="2"/>
        <v>3</v>
      </c>
      <c r="E5" s="26">
        <v>51.0</v>
      </c>
      <c r="F5" s="26">
        <v>49.0</v>
      </c>
      <c r="G5" s="22"/>
      <c r="H5" s="9" t="s">
        <v>223</v>
      </c>
      <c r="I5" s="11"/>
      <c r="J5" s="18"/>
      <c r="K5" s="12" t="s">
        <v>162</v>
      </c>
      <c r="L5" s="11"/>
      <c r="M5" s="19" t="s">
        <v>21</v>
      </c>
      <c r="N5" s="20">
        <v>2.0</v>
      </c>
      <c r="O5" s="20">
        <v>3.0</v>
      </c>
      <c r="P5" s="60"/>
      <c r="Q5" s="60"/>
      <c r="R5" s="1"/>
      <c r="S5" s="1"/>
    </row>
    <row r="6">
      <c r="A6" s="7" t="s">
        <v>36</v>
      </c>
      <c r="B6" s="14">
        <v>12.0</v>
      </c>
      <c r="C6" s="14">
        <f t="shared" si="1"/>
        <v>1</v>
      </c>
      <c r="D6" s="14">
        <f t="shared" si="2"/>
        <v>1</v>
      </c>
      <c r="E6" s="22" t="s">
        <v>37</v>
      </c>
      <c r="F6" s="28" t="s">
        <v>38</v>
      </c>
      <c r="G6" s="28" t="s">
        <v>39</v>
      </c>
      <c r="H6" s="9" t="s">
        <v>58</v>
      </c>
      <c r="I6" s="11"/>
      <c r="J6" s="18"/>
      <c r="K6" s="12" t="s">
        <v>224</v>
      </c>
      <c r="L6" s="11"/>
      <c r="M6" s="19" t="s">
        <v>21</v>
      </c>
      <c r="N6" s="20">
        <v>3.0</v>
      </c>
      <c r="O6" s="20">
        <v>5.0</v>
      </c>
      <c r="P6" s="60"/>
      <c r="Q6" s="60"/>
      <c r="R6" s="1"/>
      <c r="S6" s="1"/>
    </row>
    <row r="7">
      <c r="A7" s="7" t="s">
        <v>45</v>
      </c>
      <c r="B7" s="14">
        <v>18.0</v>
      </c>
      <c r="C7" s="14">
        <f t="shared" si="1"/>
        <v>4</v>
      </c>
      <c r="D7" s="15">
        <f t="shared" ref="D7:D8" si="3">C7+$C$9</f>
        <v>7</v>
      </c>
      <c r="E7" s="22" t="s">
        <v>225</v>
      </c>
      <c r="F7" s="28"/>
      <c r="G7" s="28"/>
      <c r="H7" s="9" t="s">
        <v>226</v>
      </c>
      <c r="I7" s="11"/>
      <c r="J7" s="18"/>
      <c r="K7" s="12" t="s">
        <v>227</v>
      </c>
      <c r="L7" s="11"/>
      <c r="M7" s="19" t="s">
        <v>21</v>
      </c>
      <c r="N7" s="20">
        <v>4.0</v>
      </c>
      <c r="O7" s="20">
        <v>6.0</v>
      </c>
      <c r="P7" s="60"/>
      <c r="Q7" s="60"/>
      <c r="R7" s="1"/>
      <c r="S7" s="1"/>
    </row>
    <row r="8">
      <c r="A8" s="7" t="s">
        <v>51</v>
      </c>
      <c r="B8" s="14">
        <v>10.0</v>
      </c>
      <c r="C8" s="14">
        <f t="shared" si="1"/>
        <v>0</v>
      </c>
      <c r="D8" s="15">
        <f t="shared" si="3"/>
        <v>3</v>
      </c>
      <c r="E8" s="32" t="s">
        <v>52</v>
      </c>
      <c r="F8" s="28"/>
      <c r="G8" s="28"/>
      <c r="H8" s="9" t="s">
        <v>228</v>
      </c>
      <c r="I8" s="11"/>
      <c r="J8" s="18"/>
      <c r="K8" s="12" t="s">
        <v>229</v>
      </c>
      <c r="L8" s="11"/>
      <c r="M8" s="19" t="s">
        <v>99</v>
      </c>
      <c r="N8" s="20">
        <v>5.0</v>
      </c>
      <c r="O8" s="20">
        <v>7.0</v>
      </c>
      <c r="P8" s="60"/>
      <c r="Q8" s="60"/>
      <c r="R8" s="1"/>
      <c r="S8" s="1"/>
    </row>
    <row r="9">
      <c r="A9" s="32"/>
      <c r="B9" s="8" t="s">
        <v>57</v>
      </c>
      <c r="C9" s="16">
        <f>FLOOR((H1-1)/4,1)+2</f>
        <v>3</v>
      </c>
      <c r="D9" s="32"/>
      <c r="E9" s="16">
        <f>C3+C9</f>
        <v>4</v>
      </c>
      <c r="F9" s="28"/>
      <c r="G9" s="28"/>
      <c r="H9" s="9"/>
      <c r="I9" s="11"/>
      <c r="J9" s="18"/>
      <c r="K9" s="12" t="s">
        <v>98</v>
      </c>
      <c r="L9" s="11"/>
      <c r="M9" s="19" t="s">
        <v>99</v>
      </c>
      <c r="N9" s="20">
        <v>6.0</v>
      </c>
      <c r="O9" s="20">
        <v>9.0</v>
      </c>
      <c r="P9" s="60"/>
      <c r="Q9" s="60"/>
      <c r="R9" s="1"/>
      <c r="S9" s="1"/>
    </row>
    <row r="10">
      <c r="A10" s="33" t="s">
        <v>61</v>
      </c>
      <c r="B10" s="7" t="s">
        <v>62</v>
      </c>
      <c r="C10" s="14">
        <f>C4</f>
        <v>-1</v>
      </c>
      <c r="D10" s="7"/>
      <c r="E10" s="49" t="s">
        <v>230</v>
      </c>
      <c r="F10" s="10"/>
      <c r="G10" s="11"/>
      <c r="H10" s="9"/>
      <c r="I10" s="11"/>
      <c r="J10" s="18"/>
      <c r="K10" s="12" t="s">
        <v>231</v>
      </c>
      <c r="L10" s="11"/>
      <c r="M10" s="31" t="s">
        <v>47</v>
      </c>
      <c r="N10" s="20">
        <v>7.0</v>
      </c>
      <c r="O10" s="20">
        <v>10.0</v>
      </c>
      <c r="P10" s="60"/>
      <c r="Q10" s="60"/>
      <c r="R10" s="1"/>
      <c r="S10" s="1"/>
    </row>
    <row r="11">
      <c r="A11" s="33" t="s">
        <v>68</v>
      </c>
      <c r="B11" s="7" t="s">
        <v>69</v>
      </c>
      <c r="C11" s="14">
        <f>C6</f>
        <v>1</v>
      </c>
      <c r="D11" s="7"/>
      <c r="E11" s="49"/>
      <c r="F11" s="10"/>
      <c r="G11" s="11"/>
      <c r="H11" s="9"/>
      <c r="I11" s="11"/>
      <c r="J11" s="18"/>
      <c r="K11" s="12" t="s">
        <v>232</v>
      </c>
      <c r="L11" s="11"/>
      <c r="M11" s="31" t="s">
        <v>47</v>
      </c>
      <c r="N11" s="20">
        <v>8.0</v>
      </c>
      <c r="O11" s="20">
        <v>11.0</v>
      </c>
      <c r="P11" s="60"/>
      <c r="Q11" s="60"/>
      <c r="R11" s="1"/>
      <c r="S11" s="1"/>
    </row>
    <row r="12">
      <c r="A12" s="33" t="s">
        <v>73</v>
      </c>
      <c r="B12" s="7" t="s">
        <v>74</v>
      </c>
      <c r="C12" s="14">
        <f>C3+C9</f>
        <v>4</v>
      </c>
      <c r="D12" s="68"/>
      <c r="E12" s="49"/>
      <c r="F12" s="10"/>
      <c r="G12" s="11"/>
      <c r="H12" s="9"/>
      <c r="I12" s="11"/>
      <c r="J12" s="18"/>
      <c r="K12" s="12" t="s">
        <v>233</v>
      </c>
      <c r="L12" s="11"/>
      <c r="M12" s="31" t="s">
        <v>47</v>
      </c>
      <c r="N12" s="20">
        <v>9.0</v>
      </c>
      <c r="O12" s="20">
        <v>13.0</v>
      </c>
      <c r="P12" s="62"/>
      <c r="Q12" s="62"/>
      <c r="R12" s="1"/>
      <c r="S12" s="1"/>
    </row>
    <row r="13">
      <c r="A13" s="33" t="s">
        <v>77</v>
      </c>
      <c r="B13" s="7" t="s">
        <v>78</v>
      </c>
      <c r="C13" s="14">
        <f>C7</f>
        <v>4</v>
      </c>
      <c r="D13" s="7"/>
      <c r="E13" s="49"/>
      <c r="F13" s="10"/>
      <c r="G13" s="11"/>
      <c r="H13" s="9"/>
      <c r="I13" s="11"/>
      <c r="J13" s="18"/>
      <c r="K13" s="12" t="s">
        <v>234</v>
      </c>
      <c r="L13" s="11"/>
      <c r="M13" s="31" t="s">
        <v>47</v>
      </c>
      <c r="N13" s="7" t="s">
        <v>2</v>
      </c>
      <c r="O13" s="7" t="s">
        <v>80</v>
      </c>
      <c r="P13" s="7" t="s">
        <v>81</v>
      </c>
      <c r="Q13" s="7" t="s">
        <v>2</v>
      </c>
      <c r="R13" s="7" t="s">
        <v>80</v>
      </c>
      <c r="S13" s="7" t="s">
        <v>81</v>
      </c>
    </row>
    <row r="14">
      <c r="A14" s="33" t="s">
        <v>77</v>
      </c>
      <c r="B14" s="7" t="s">
        <v>82</v>
      </c>
      <c r="C14" s="14">
        <f>C7+C9</f>
        <v>7</v>
      </c>
      <c r="D14" s="68"/>
      <c r="E14" s="49"/>
      <c r="F14" s="10"/>
      <c r="G14" s="11"/>
      <c r="H14" s="9"/>
      <c r="I14" s="11"/>
      <c r="J14" s="18"/>
      <c r="K14" s="12" t="s">
        <v>235</v>
      </c>
      <c r="L14" s="11"/>
      <c r="M14" s="31" t="s">
        <v>195</v>
      </c>
      <c r="N14" s="14">
        <v>0.0</v>
      </c>
      <c r="O14" s="37" t="s">
        <v>105</v>
      </c>
      <c r="P14" s="7" t="s">
        <v>47</v>
      </c>
      <c r="Q14" s="14">
        <v>3.0</v>
      </c>
      <c r="R14" s="37" t="s">
        <v>236</v>
      </c>
      <c r="S14" s="7" t="s">
        <v>195</v>
      </c>
    </row>
    <row r="15">
      <c r="A15" s="33" t="s">
        <v>87</v>
      </c>
      <c r="B15" s="7" t="s">
        <v>88</v>
      </c>
      <c r="C15" s="14">
        <f>C8</f>
        <v>0</v>
      </c>
      <c r="D15" s="7"/>
      <c r="E15" s="69" t="s">
        <v>237</v>
      </c>
      <c r="F15" s="10"/>
      <c r="G15" s="11"/>
      <c r="H15" s="9"/>
      <c r="I15" s="11"/>
      <c r="J15" s="18"/>
      <c r="K15" s="12" t="s">
        <v>238</v>
      </c>
      <c r="L15" s="11"/>
      <c r="M15" s="31" t="s">
        <v>195</v>
      </c>
      <c r="N15" s="14">
        <v>0.0</v>
      </c>
      <c r="O15" s="65" t="s">
        <v>204</v>
      </c>
      <c r="P15" s="7" t="s">
        <v>47</v>
      </c>
      <c r="Q15" s="14">
        <v>3.0</v>
      </c>
      <c r="R15" s="37" t="s">
        <v>239</v>
      </c>
      <c r="S15" s="7" t="s">
        <v>195</v>
      </c>
    </row>
    <row r="16">
      <c r="A16" s="33" t="s">
        <v>87</v>
      </c>
      <c r="B16" s="7" t="s">
        <v>92</v>
      </c>
      <c r="C16" s="14">
        <f>C8</f>
        <v>0</v>
      </c>
      <c r="D16" s="7"/>
      <c r="E16" s="70" t="s">
        <v>240</v>
      </c>
      <c r="F16" s="10"/>
      <c r="G16" s="11"/>
      <c r="H16" s="9"/>
      <c r="I16" s="11"/>
      <c r="J16" s="18"/>
      <c r="K16" s="12" t="s">
        <v>241</v>
      </c>
      <c r="L16" s="11"/>
      <c r="M16" s="31" t="s">
        <v>195</v>
      </c>
      <c r="N16" s="14">
        <v>0.0</v>
      </c>
      <c r="O16" s="37" t="s">
        <v>242</v>
      </c>
      <c r="P16" s="7" t="s">
        <v>47</v>
      </c>
      <c r="Q16" s="14">
        <v>3.0</v>
      </c>
      <c r="R16" s="37" t="s">
        <v>243</v>
      </c>
      <c r="S16" s="7" t="s">
        <v>195</v>
      </c>
    </row>
    <row r="17">
      <c r="A17" s="33" t="s">
        <v>68</v>
      </c>
      <c r="B17" s="7" t="s">
        <v>97</v>
      </c>
      <c r="C17" s="14">
        <f>C6+2*C9</f>
        <v>7</v>
      </c>
      <c r="D17" s="71"/>
      <c r="E17" s="70" t="s">
        <v>244</v>
      </c>
      <c r="F17" s="10"/>
      <c r="G17" s="11"/>
      <c r="H17" s="9"/>
      <c r="I17" s="11"/>
      <c r="J17" s="18"/>
      <c r="K17" s="12" t="s">
        <v>245</v>
      </c>
      <c r="L17" s="11"/>
      <c r="M17" s="31" t="s">
        <v>195</v>
      </c>
      <c r="N17" s="14">
        <v>0.0</v>
      </c>
      <c r="O17" s="37" t="s">
        <v>100</v>
      </c>
      <c r="P17" s="7" t="s">
        <v>47</v>
      </c>
      <c r="Q17" s="14">
        <v>3.0</v>
      </c>
      <c r="R17" s="37" t="s">
        <v>246</v>
      </c>
      <c r="S17" s="7" t="s">
        <v>47</v>
      </c>
    </row>
    <row r="18">
      <c r="A18" s="33" t="s">
        <v>61</v>
      </c>
      <c r="B18" s="7" t="s">
        <v>102</v>
      </c>
      <c r="C18" s="14">
        <f>C4</f>
        <v>-1</v>
      </c>
      <c r="D18" s="7"/>
      <c r="E18" s="70"/>
      <c r="F18" s="10"/>
      <c r="G18" s="11"/>
      <c r="H18" s="9"/>
      <c r="I18" s="11"/>
      <c r="J18" s="18"/>
      <c r="K18" s="12" t="s">
        <v>247</v>
      </c>
      <c r="L18" s="11"/>
      <c r="M18" s="31" t="s">
        <v>47</v>
      </c>
      <c r="N18" s="14">
        <v>1.0</v>
      </c>
      <c r="O18" s="37" t="s">
        <v>248</v>
      </c>
      <c r="P18" s="7" t="s">
        <v>47</v>
      </c>
      <c r="Q18" s="7"/>
      <c r="R18" s="7"/>
      <c r="S18" s="7"/>
    </row>
    <row r="19">
      <c r="A19" s="33" t="s">
        <v>68</v>
      </c>
      <c r="B19" s="7" t="s">
        <v>107</v>
      </c>
      <c r="C19" s="14">
        <f>C6</f>
        <v>1</v>
      </c>
      <c r="D19" s="7"/>
      <c r="E19" s="70"/>
      <c r="F19" s="10"/>
      <c r="G19" s="11"/>
      <c r="H19" s="9"/>
      <c r="I19" s="11"/>
      <c r="J19" s="18"/>
      <c r="K19" s="12" t="s">
        <v>249</v>
      </c>
      <c r="L19" s="11"/>
      <c r="M19" s="31" t="s">
        <v>195</v>
      </c>
      <c r="N19" s="14">
        <v>1.0</v>
      </c>
      <c r="O19" s="37" t="s">
        <v>250</v>
      </c>
      <c r="P19" s="7" t="s">
        <v>47</v>
      </c>
      <c r="Q19" s="7"/>
      <c r="R19" s="7"/>
      <c r="S19" s="7"/>
    </row>
    <row r="20">
      <c r="A20" s="33" t="s">
        <v>77</v>
      </c>
      <c r="B20" s="7" t="s">
        <v>111</v>
      </c>
      <c r="C20" s="14">
        <f>C7+C9</f>
        <v>7</v>
      </c>
      <c r="D20" s="68"/>
      <c r="E20" s="70"/>
      <c r="F20" s="10"/>
      <c r="G20" s="11"/>
      <c r="H20" s="9"/>
      <c r="I20" s="11"/>
      <c r="J20" s="18"/>
      <c r="K20" s="12" t="s">
        <v>251</v>
      </c>
      <c r="L20" s="11"/>
      <c r="M20" s="31" t="s">
        <v>195</v>
      </c>
      <c r="N20" s="14">
        <v>1.0</v>
      </c>
      <c r="O20" s="65" t="s">
        <v>252</v>
      </c>
      <c r="P20" s="7" t="s">
        <v>47</v>
      </c>
      <c r="Q20" s="7"/>
      <c r="R20" s="7"/>
      <c r="S20" s="7"/>
    </row>
    <row r="21">
      <c r="A21" s="33" t="s">
        <v>87</v>
      </c>
      <c r="B21" s="7" t="s">
        <v>114</v>
      </c>
      <c r="C21" s="14">
        <f>C8</f>
        <v>0</v>
      </c>
      <c r="D21" s="7"/>
      <c r="E21" s="70"/>
      <c r="F21" s="10"/>
      <c r="G21" s="11"/>
      <c r="H21" s="9"/>
      <c r="I21" s="11"/>
      <c r="J21" s="18"/>
      <c r="K21" s="12" t="s">
        <v>226</v>
      </c>
      <c r="L21" s="11"/>
      <c r="M21" s="31" t="s">
        <v>49</v>
      </c>
      <c r="N21" s="14">
        <v>1.0</v>
      </c>
      <c r="O21" s="65" t="s">
        <v>253</v>
      </c>
      <c r="P21" s="7" t="s">
        <v>47</v>
      </c>
      <c r="Q21" s="7"/>
      <c r="R21" s="7"/>
      <c r="S21" s="7"/>
    </row>
    <row r="22">
      <c r="A22" s="33" t="s">
        <v>68</v>
      </c>
      <c r="B22" s="7" t="s">
        <v>116</v>
      </c>
      <c r="C22" s="14">
        <f>C6+2*C9</f>
        <v>7</v>
      </c>
      <c r="D22" s="71"/>
      <c r="E22" s="70"/>
      <c r="F22" s="10"/>
      <c r="G22" s="11"/>
      <c r="H22" s="9"/>
      <c r="I22" s="11"/>
      <c r="J22" s="18"/>
      <c r="K22" s="12" t="s">
        <v>254</v>
      </c>
      <c r="L22" s="11"/>
      <c r="M22" s="31" t="s">
        <v>49</v>
      </c>
      <c r="N22" s="14">
        <v>2.0</v>
      </c>
      <c r="O22" s="19" t="s">
        <v>255</v>
      </c>
      <c r="P22" s="7" t="s">
        <v>47</v>
      </c>
      <c r="Q22" s="7"/>
      <c r="R22" s="7"/>
      <c r="S22" s="7"/>
    </row>
    <row r="23">
      <c r="A23" s="33" t="s">
        <v>77</v>
      </c>
      <c r="B23" s="7" t="s">
        <v>118</v>
      </c>
      <c r="C23" s="14">
        <f>C7+C9</f>
        <v>7</v>
      </c>
      <c r="D23" s="68"/>
      <c r="E23" s="70"/>
      <c r="F23" s="10"/>
      <c r="G23" s="11"/>
      <c r="H23" s="9"/>
      <c r="I23" s="11"/>
      <c r="J23" s="18"/>
      <c r="K23" s="12"/>
      <c r="L23" s="11"/>
      <c r="M23" s="31"/>
      <c r="N23" s="14">
        <v>2.0</v>
      </c>
      <c r="O23" s="37" t="s">
        <v>256</v>
      </c>
      <c r="P23" s="7" t="s">
        <v>47</v>
      </c>
      <c r="Q23" s="7"/>
      <c r="R23" s="7"/>
      <c r="S23" s="7"/>
    </row>
    <row r="24">
      <c r="A24" s="33" t="s">
        <v>68</v>
      </c>
      <c r="B24" s="7" t="s">
        <v>119</v>
      </c>
      <c r="C24" s="14">
        <f>C6</f>
        <v>1</v>
      </c>
      <c r="D24" s="7"/>
      <c r="E24" s="42" t="s">
        <v>120</v>
      </c>
      <c r="F24" s="10"/>
      <c r="G24" s="11"/>
      <c r="H24" s="9"/>
      <c r="I24" s="11"/>
      <c r="J24" s="18"/>
      <c r="K24" s="12"/>
      <c r="L24" s="11"/>
      <c r="M24" s="31"/>
      <c r="N24" s="14">
        <v>2.0</v>
      </c>
      <c r="O24" s="37" t="s">
        <v>257</v>
      </c>
      <c r="P24" s="7" t="s">
        <v>47</v>
      </c>
      <c r="Q24" s="7"/>
      <c r="R24" s="7"/>
      <c r="S24" s="7"/>
    </row>
    <row r="25">
      <c r="A25" s="33" t="s">
        <v>61</v>
      </c>
      <c r="B25" s="7" t="s">
        <v>122</v>
      </c>
      <c r="C25" s="14">
        <f>C4</f>
        <v>-1</v>
      </c>
      <c r="D25" s="7"/>
      <c r="E25" s="43"/>
      <c r="F25" s="43" t="s">
        <v>123</v>
      </c>
      <c r="G25" s="43" t="s">
        <v>124</v>
      </c>
      <c r="H25" s="9"/>
      <c r="I25" s="11"/>
      <c r="J25" s="18"/>
      <c r="K25" s="12"/>
      <c r="L25" s="11"/>
      <c r="M25" s="31"/>
      <c r="N25" s="14">
        <v>3.0</v>
      </c>
      <c r="O25" s="37" t="s">
        <v>258</v>
      </c>
      <c r="P25" s="7" t="s">
        <v>47</v>
      </c>
      <c r="Q25" s="7"/>
      <c r="R25" s="7"/>
      <c r="S25" s="7"/>
    </row>
    <row r="26">
      <c r="A26" s="44" t="s">
        <v>87</v>
      </c>
      <c r="B26" s="7" t="s">
        <v>126</v>
      </c>
      <c r="C26" s="14">
        <f>C8</f>
        <v>0</v>
      </c>
      <c r="D26" s="7"/>
      <c r="E26" s="43" t="s">
        <v>127</v>
      </c>
      <c r="F26" s="43"/>
      <c r="G26" s="43"/>
      <c r="H26" s="9"/>
      <c r="I26" s="11"/>
      <c r="J26" s="18"/>
      <c r="K26" s="12"/>
      <c r="L26" s="11"/>
      <c r="M26" s="31"/>
      <c r="N26" s="14">
        <v>3.0</v>
      </c>
      <c r="O26" s="65" t="s">
        <v>259</v>
      </c>
      <c r="P26" s="7" t="s">
        <v>47</v>
      </c>
      <c r="Q26" s="7"/>
      <c r="R26" s="7"/>
      <c r="S26" s="7"/>
    </row>
    <row r="27">
      <c r="A27" s="33" t="s">
        <v>77</v>
      </c>
      <c r="B27" s="7" t="s">
        <v>130</v>
      </c>
      <c r="C27" s="14">
        <f>C7</f>
        <v>4</v>
      </c>
      <c r="D27" s="7"/>
      <c r="E27" s="43" t="s">
        <v>131</v>
      </c>
      <c r="F27" s="43"/>
      <c r="G27" s="43"/>
      <c r="H27" s="9"/>
      <c r="I27" s="11"/>
      <c r="J27" s="18"/>
      <c r="K27" s="12"/>
      <c r="L27" s="11"/>
      <c r="M27" s="31"/>
      <c r="N27" s="14">
        <v>1.0</v>
      </c>
      <c r="O27" s="37" t="s">
        <v>188</v>
      </c>
      <c r="P27" s="7" t="s">
        <v>195</v>
      </c>
      <c r="Q27" s="7"/>
      <c r="R27" s="7"/>
      <c r="S27" s="7"/>
    </row>
    <row r="28">
      <c r="A28" s="33"/>
      <c r="B28" s="7"/>
      <c r="C28" s="7"/>
      <c r="D28" s="7"/>
      <c r="E28" s="43" t="s">
        <v>133</v>
      </c>
      <c r="F28" s="72">
        <v>120.0</v>
      </c>
      <c r="G28" s="43"/>
      <c r="H28" s="9"/>
      <c r="I28" s="11"/>
      <c r="J28" s="18"/>
      <c r="K28" s="12"/>
      <c r="L28" s="11"/>
      <c r="M28" s="31"/>
      <c r="N28" s="14">
        <v>1.0</v>
      </c>
      <c r="O28" s="37" t="s">
        <v>260</v>
      </c>
      <c r="P28" s="7" t="s">
        <v>195</v>
      </c>
      <c r="Q28" s="7"/>
      <c r="R28" s="7"/>
      <c r="S28" s="7"/>
    </row>
    <row r="29">
      <c r="A29" s="33"/>
      <c r="B29" s="7" t="s">
        <v>134</v>
      </c>
      <c r="C29" s="14">
        <f>10+C13</f>
        <v>14</v>
      </c>
      <c r="D29" s="7"/>
      <c r="E29" s="43" t="s">
        <v>135</v>
      </c>
      <c r="F29" s="43"/>
      <c r="G29" s="43"/>
      <c r="H29" s="9"/>
      <c r="I29" s="11"/>
      <c r="J29" s="18"/>
      <c r="K29" s="12"/>
      <c r="L29" s="11"/>
      <c r="M29" s="31"/>
      <c r="N29" s="14">
        <v>1.0</v>
      </c>
      <c r="O29" s="65" t="s">
        <v>261</v>
      </c>
      <c r="P29" s="7" t="s">
        <v>195</v>
      </c>
      <c r="Q29" s="7"/>
      <c r="R29" s="7"/>
      <c r="S29" s="7"/>
    </row>
    <row r="30">
      <c r="A30" s="48"/>
      <c r="B30" s="49" t="s">
        <v>136</v>
      </c>
      <c r="C30" s="10"/>
      <c r="D30" s="11"/>
      <c r="E30" s="1"/>
      <c r="F30" s="1"/>
      <c r="G30" s="1"/>
      <c r="H30" s="9"/>
      <c r="I30" s="11"/>
      <c r="J30" s="18"/>
      <c r="K30" s="12"/>
      <c r="L30" s="11"/>
      <c r="M30" s="31"/>
      <c r="N30" s="14">
        <v>1.0</v>
      </c>
      <c r="O30" s="37" t="s">
        <v>262</v>
      </c>
      <c r="P30" s="7" t="s">
        <v>195</v>
      </c>
      <c r="Q30" s="7"/>
      <c r="R30" s="7"/>
      <c r="S30" s="7"/>
    </row>
    <row r="31">
      <c r="A31" s="48"/>
      <c r="B31" s="49" t="s">
        <v>137</v>
      </c>
      <c r="C31" s="10"/>
      <c r="D31" s="11"/>
      <c r="E31" s="1"/>
      <c r="F31" s="1"/>
      <c r="G31" s="1"/>
      <c r="H31" s="9"/>
      <c r="I31" s="11"/>
      <c r="J31" s="18"/>
      <c r="K31" s="12"/>
      <c r="L31" s="11"/>
      <c r="M31" s="31"/>
      <c r="N31" s="14">
        <v>2.0</v>
      </c>
      <c r="O31" s="65" t="s">
        <v>263</v>
      </c>
      <c r="P31" s="7" t="s">
        <v>195</v>
      </c>
      <c r="Q31" s="7"/>
      <c r="R31" s="7"/>
      <c r="S31" s="7"/>
    </row>
    <row r="32">
      <c r="A32" s="48"/>
      <c r="B32" s="49" t="s">
        <v>264</v>
      </c>
      <c r="C32" s="10"/>
      <c r="D32" s="11"/>
      <c r="E32" s="1"/>
      <c r="F32" s="1"/>
      <c r="G32" s="1"/>
      <c r="H32" s="9"/>
      <c r="I32" s="11"/>
      <c r="J32" s="18"/>
      <c r="K32" s="12"/>
      <c r="L32" s="11"/>
      <c r="M32" s="31"/>
      <c r="N32" s="14">
        <v>2.0</v>
      </c>
      <c r="O32" s="65" t="s">
        <v>265</v>
      </c>
      <c r="P32" s="7" t="s">
        <v>195</v>
      </c>
      <c r="Q32" s="7"/>
      <c r="R32" s="7"/>
      <c r="S32" s="7"/>
    </row>
  </sheetData>
  <mergeCells count="83">
    <mergeCell ref="E16:G16"/>
    <mergeCell ref="H16:I16"/>
    <mergeCell ref="E17:G17"/>
    <mergeCell ref="H17:I17"/>
    <mergeCell ref="E18:G18"/>
    <mergeCell ref="H18:I18"/>
    <mergeCell ref="H19:I19"/>
    <mergeCell ref="E19:G19"/>
    <mergeCell ref="E20:G20"/>
    <mergeCell ref="H20:I20"/>
    <mergeCell ref="K20:L20"/>
    <mergeCell ref="E21:G21"/>
    <mergeCell ref="H21:I21"/>
    <mergeCell ref="K21:L21"/>
    <mergeCell ref="K23:L23"/>
    <mergeCell ref="K24:L24"/>
    <mergeCell ref="E22:G22"/>
    <mergeCell ref="H22:I22"/>
    <mergeCell ref="K22:L22"/>
    <mergeCell ref="E23:G23"/>
    <mergeCell ref="H23:I23"/>
    <mergeCell ref="E24:G24"/>
    <mergeCell ref="H24:I24"/>
    <mergeCell ref="H28:I28"/>
    <mergeCell ref="H29:I29"/>
    <mergeCell ref="B30:D30"/>
    <mergeCell ref="H30:I30"/>
    <mergeCell ref="B31:D31"/>
    <mergeCell ref="H31:I31"/>
    <mergeCell ref="B32:D32"/>
    <mergeCell ref="H32:I32"/>
    <mergeCell ref="K29:L29"/>
    <mergeCell ref="K30:L30"/>
    <mergeCell ref="K31:L31"/>
    <mergeCell ref="K32:L32"/>
    <mergeCell ref="H25:I25"/>
    <mergeCell ref="K25:L25"/>
    <mergeCell ref="H26:I26"/>
    <mergeCell ref="K26:L26"/>
    <mergeCell ref="H27:I27"/>
    <mergeCell ref="K27:L27"/>
    <mergeCell ref="K28:L28"/>
    <mergeCell ref="P4:P12"/>
    <mergeCell ref="Q4:Q12"/>
    <mergeCell ref="B1:E1"/>
    <mergeCell ref="H2:J2"/>
    <mergeCell ref="K2:M2"/>
    <mergeCell ref="H3:I3"/>
    <mergeCell ref="K3:L3"/>
    <mergeCell ref="H4:I4"/>
    <mergeCell ref="H5:I5"/>
    <mergeCell ref="K4:L4"/>
    <mergeCell ref="K5:L5"/>
    <mergeCell ref="H6:I6"/>
    <mergeCell ref="K6:L6"/>
    <mergeCell ref="H7:I7"/>
    <mergeCell ref="K7:L7"/>
    <mergeCell ref="K8:L8"/>
    <mergeCell ref="H8:I8"/>
    <mergeCell ref="H9:I9"/>
    <mergeCell ref="E10:G10"/>
    <mergeCell ref="H10:I10"/>
    <mergeCell ref="E11:G11"/>
    <mergeCell ref="H11:I11"/>
    <mergeCell ref="H12:I12"/>
    <mergeCell ref="E12:G12"/>
    <mergeCell ref="E13:G13"/>
    <mergeCell ref="H13:I13"/>
    <mergeCell ref="E14:G14"/>
    <mergeCell ref="H14:I14"/>
    <mergeCell ref="E15:G15"/>
    <mergeCell ref="H15:I15"/>
    <mergeCell ref="K16:L16"/>
    <mergeCell ref="K17:L17"/>
    <mergeCell ref="K18:L18"/>
    <mergeCell ref="K19:L19"/>
    <mergeCell ref="K9:L9"/>
    <mergeCell ref="K10:L10"/>
    <mergeCell ref="K11:L11"/>
    <mergeCell ref="K12:L12"/>
    <mergeCell ref="K13:L13"/>
    <mergeCell ref="K14:L14"/>
    <mergeCell ref="K15:L15"/>
  </mergeCells>
  <hyperlinks>
    <hyperlink r:id="rId1" ref="F1"/>
    <hyperlink r:id="rId2" ref="L1"/>
    <hyperlink r:id="rId3" ref="M3"/>
    <hyperlink r:id="rId4" ref="M4"/>
    <hyperlink r:id="rId5" ref="M5"/>
    <hyperlink r:id="rId6" ref="M6"/>
    <hyperlink r:id="rId7" ref="M7"/>
    <hyperlink r:id="rId8" ref="M8"/>
    <hyperlink r:id="rId9" ref="M9"/>
    <hyperlink r:id="rId10" ref="O14"/>
    <hyperlink r:id="rId11" ref="R14"/>
    <hyperlink r:id="rId12" ref="E15"/>
    <hyperlink r:id="rId13" ref="O15"/>
    <hyperlink r:id="rId14" ref="R15"/>
    <hyperlink r:id="rId15" ref="O16"/>
    <hyperlink r:id="rId16" ref="R16"/>
    <hyperlink r:id="rId17" ref="O17"/>
    <hyperlink r:id="rId18" ref="R17"/>
    <hyperlink r:id="rId19" ref="O18"/>
    <hyperlink r:id="rId20" ref="O19"/>
    <hyperlink r:id="rId21" ref="O20"/>
    <hyperlink r:id="rId22" ref="O21"/>
    <hyperlink r:id="rId23" ref="O22"/>
    <hyperlink r:id="rId24" ref="O23"/>
    <hyperlink r:id="rId25" ref="O24"/>
    <hyperlink r:id="rId26" ref="O25"/>
    <hyperlink r:id="rId27" ref="O26"/>
    <hyperlink r:id="rId28" ref="O27"/>
    <hyperlink r:id="rId29" ref="O28"/>
    <hyperlink r:id="rId30" ref="O29"/>
    <hyperlink r:id="rId31" ref="O30"/>
    <hyperlink r:id="rId32" ref="O31"/>
    <hyperlink r:id="rId33" ref="O32"/>
  </hyperlinks>
  <drawing r:id="rId34"/>
</worksheet>
</file>